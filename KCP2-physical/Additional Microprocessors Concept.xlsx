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ton\Documents\Kerbal Space Program\Kerbal_Control_Panel\KCP2-physical\"/>
    </mc:Choice>
  </mc:AlternateContent>
  <bookViews>
    <workbookView xWindow="0" yWindow="0" windowWidth="12525" windowHeight="7740"/>
  </bookViews>
  <sheets>
    <sheet name="Pin updates" sheetId="2" r:id="rId1"/>
    <sheet name="Timing Budgets" sheetId="3" r:id="rId2"/>
    <sheet name="Mega vs Nano" sheetId="4" r:id="rId3"/>
  </sheets>
  <calcPr calcId="152511"/>
</workbook>
</file>

<file path=xl/calcChain.xml><?xml version="1.0" encoding="utf-8"?>
<calcChain xmlns="http://schemas.openxmlformats.org/spreadsheetml/2006/main">
  <c r="H38" i="2" l="1"/>
  <c r="G38" i="2"/>
  <c r="B19" i="3" l="1"/>
  <c r="C21" i="3"/>
  <c r="C7" i="3"/>
  <c r="C2" i="3"/>
  <c r="B1" i="3"/>
</calcChain>
</file>

<file path=xl/sharedStrings.xml><?xml version="1.0" encoding="utf-8"?>
<sst xmlns="http://schemas.openxmlformats.org/spreadsheetml/2006/main" count="226" uniqueCount="101">
  <si>
    <t>Pin</t>
  </si>
  <si>
    <t>Frequency</t>
  </si>
  <si>
    <t>Direction</t>
  </si>
  <si>
    <t>Gauge</t>
  </si>
  <si>
    <t>Mega Pin (old)</t>
  </si>
  <si>
    <t>G-Force</t>
  </si>
  <si>
    <t>Mach</t>
  </si>
  <si>
    <t>Pitch</t>
  </si>
  <si>
    <t>Module</t>
  </si>
  <si>
    <t>C</t>
  </si>
  <si>
    <t>G</t>
  </si>
  <si>
    <t>Heading</t>
  </si>
  <si>
    <t>SLP</t>
  </si>
  <si>
    <t>MS1</t>
  </si>
  <si>
    <t>MS2</t>
  </si>
  <si>
    <t>STEP</t>
  </si>
  <si>
    <t>DIR</t>
  </si>
  <si>
    <t>I</t>
  </si>
  <si>
    <t>Fuel</t>
  </si>
  <si>
    <t>Charge</t>
  </si>
  <si>
    <t>Monopropellant
/Intake</t>
  </si>
  <si>
    <t>Heat/Life Support</t>
  </si>
  <si>
    <t>Air Density</t>
  </si>
  <si>
    <t>EasyDriver</t>
  </si>
  <si>
    <t>Driver
Board</t>
  </si>
  <si>
    <t>VID6606 #1 (Main Left?)</t>
  </si>
  <si>
    <t>VID6606 #2 (Main Right?)</t>
  </si>
  <si>
    <t>VID6606 #3 (Gauge Tower)</t>
  </si>
  <si>
    <t>Speed</t>
  </si>
  <si>
    <t>Vertical Speed</t>
  </si>
  <si>
    <t>Radar Altitude</t>
  </si>
  <si>
    <t>GT</t>
  </si>
  <si>
    <t>14 (TX3)</t>
  </si>
  <si>
    <t>15 (RX3)</t>
  </si>
  <si>
    <t>16 (TX2)</t>
  </si>
  <si>
    <t>17 (RX2)</t>
  </si>
  <si>
    <t>PIN_GLASS_COCKPIT_CR_SWITCH</t>
  </si>
  <si>
    <t>PIN_GLASS_COCKPIT_BR_SWITCH</t>
  </si>
  <si>
    <t>PIN_GLASS_COCKPIT_BL_SWITCH</t>
  </si>
  <si>
    <t>PIN_GLASS_COCKPIT_TR_SWITCH</t>
  </si>
  <si>
    <t>Send input packet (periodic)</t>
  </si>
  <si>
    <t>ingestDataFromSerialBufferToPacketBuffer (regular)</t>
  </si>
  <si>
    <t>runStepperIfNecessary (Heading only)</t>
  </si>
  <si>
    <t>getOutputRefreshPacket</t>
  </si>
  <si>
    <t>unpackOutputRefreshPacketIntoModel</t>
  </si>
  <si>
    <t>writeLEDStatusToLEDDriverBoards</t>
  </si>
  <si>
    <t>assembleAltitudePacket</t>
  </si>
  <si>
    <t>sendAltitudePacket</t>
  </si>
  <si>
    <t>assembleGaugePacket1</t>
  </si>
  <si>
    <t>sendGaugePacket1</t>
  </si>
  <si>
    <t>assembleGaugePacket2</t>
  </si>
  <si>
    <t>sendGaugePacket2</t>
  </si>
  <si>
    <t>refreshInputStatus</t>
  </si>
  <si>
    <t>assembleInputRefreshPacket</t>
  </si>
  <si>
    <t>sendInputRefreshPacket</t>
  </si>
  <si>
    <t>ingestOutputRefreshPacket (periodic)</t>
  </si>
  <si>
    <t>ingestGaugePacket (periodic)</t>
  </si>
  <si>
    <t>Gauge Arduino #1 (&amp; #2):
standardOperatingMode</t>
  </si>
  <si>
    <t>Arduino Mega:
standardOperatingMode</t>
  </si>
  <si>
    <t>Mega Pin (new)</t>
  </si>
  <si>
    <t>-</t>
  </si>
  <si>
    <t>H</t>
  </si>
  <si>
    <t>Case</t>
  </si>
  <si>
    <t>Nano</t>
  </si>
  <si>
    <t>Mega (2560 rev3)</t>
  </si>
  <si>
    <t>PWM Pins</t>
  </si>
  <si>
    <t>Pins</t>
  </si>
  <si>
    <t>Analong Input Pins</t>
  </si>
  <si>
    <t>SRAM</t>
  </si>
  <si>
    <t>EEPROM</t>
  </si>
  <si>
    <t>Clock Speed</t>
  </si>
  <si>
    <t>16 MHz</t>
  </si>
  <si>
    <t>8 kB</t>
  </si>
  <si>
    <t>4 kB</t>
  </si>
  <si>
    <t>1 kB</t>
  </si>
  <si>
    <t>2 kB</t>
  </si>
  <si>
    <t>NGH A Pin</t>
  </si>
  <si>
    <t>NGH B Pin</t>
  </si>
  <si>
    <t>Pins Required:</t>
  </si>
  <si>
    <t>"NGH A" - RX</t>
  </si>
  <si>
    <t>"NGH A" - TX</t>
  </si>
  <si>
    <t>"NGH B" - RX</t>
  </si>
  <si>
    <t>"NGH B" - TX</t>
  </si>
  <si>
    <t>Nano has 22 pins!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</si>
  <si>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</si>
  <si>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</si>
  <si>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</si>
  <si>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</si>
  <si>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</si>
  <si>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</si>
  <si>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</si>
  <si>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</si>
  <si>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</si>
  <si>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</si>
  <si>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</si>
  <si>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A0 (D14)</t>
  </si>
  <si>
    <t>A1 (D15)</t>
  </si>
  <si>
    <t>A3 (D17)</t>
  </si>
  <si>
    <t>A2 (D16)</t>
  </si>
  <si>
    <t>RX0</t>
  </si>
  <si>
    <t>TX1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</si>
</sst>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7">
    <xf numFmtId="0" fontId="0" fillId="0" borderId="0" xfId="0"/>
    <xf numFmtId="0" fontId="18" fillId="0" borderId="0" xfId="0" applyFont="1"/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horizontal="center"/>
    </xf>
    <xf numFmtId="0" fontId="19" fillId="0" borderId="0" xfId="0" applyFont="1" applyAlignment="1">
      <alignment vertical="top" wrapText="1"/>
    </xf>
    <xf numFmtId="0" fontId="19" fillId="0" borderId="0" xfId="0" applyFont="1"/>
    <xf numFmtId="0" fontId="18" fillId="0" borderId="0" xfId="0" applyFont="1" applyFill="1"/>
    <xf numFmtId="0" fontId="20" fillId="0" borderId="0" xfId="0" applyFont="1"/>
    <xf numFmtId="0" fontId="0" fillId="33" borderId="0" xfId="0" applyFill="1"/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0" fontId="0" fillId="0" borderId="0" xfId="0" applyAlignment="1">
      <alignment wrapText="1"/>
    </xf>
    <xf numFmtId="0" fontId="21" fillId="0" borderId="0" xfId="0" applyFont="1" applyAlignment="1">
      <alignment horizontal="center" vertical="top" wrapText="1"/>
    </xf>
    <xf numFmtId="0" fontId="21" fillId="0" borderId="0" xfId="0" applyFont="1" applyAlignment="1">
      <alignment horizontal="center"/>
    </xf>
    <xf numFmtId="0" fontId="21" fillId="33" borderId="0" xfId="0" applyFont="1" applyFill="1" applyAlignment="1">
      <alignment horizontal="center"/>
    </xf>
    <xf numFmtId="0" fontId="21" fillId="0" borderId="0" xfId="0" applyFont="1" applyFill="1" applyAlignment="1">
      <alignment horizontal="center"/>
    </xf>
    <xf numFmtId="0" fontId="21" fillId="0" borderId="0" xfId="0" applyFont="1" applyAlignment="1">
      <alignment horizontal="left"/>
    </xf>
    <xf numFmtId="0" fontId="16" fillId="0" borderId="0" xfId="0" applyFont="1"/>
    <xf numFmtId="0" fontId="22" fillId="0" borderId="0" xfId="0" applyFont="1"/>
    <xf numFmtId="0" fontId="0" fillId="37" borderId="0" xfId="0" applyFill="1"/>
    <xf numFmtId="0" fontId="0" fillId="0" borderId="0" xfId="0" applyAlignment="1">
      <alignment horizontal="right"/>
    </xf>
    <xf numFmtId="0" fontId="0" fillId="37" borderId="0" xfId="0" applyFill="1" applyAlignment="1">
      <alignment horizontal="right"/>
    </xf>
    <xf numFmtId="0" fontId="1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23" fillId="0" borderId="0" xfId="0" applyFont="1" applyAlignment="1">
      <alignment horizontal="right"/>
    </xf>
    <xf numFmtId="0" fontId="21" fillId="38" borderId="0" xfId="0" applyFont="1" applyFill="1" applyAlignment="1">
      <alignment horizontal="center"/>
    </xf>
    <xf numFmtId="0" fontId="18" fillId="38" borderId="0" xfId="0" applyFont="1" applyFill="1" applyAlignment="1">
      <alignment horizontal="center"/>
    </xf>
    <xf numFmtId="0" fontId="21" fillId="39" borderId="0" xfId="0" applyFont="1" applyFill="1" applyAlignment="1">
      <alignment horizontal="center"/>
    </xf>
    <xf numFmtId="0" fontId="18" fillId="0" borderId="0" xfId="0" applyFont="1" applyAlignment="1">
      <alignment horizontal="center" vertical="center"/>
    </xf>
    <xf numFmtId="0" fontId="18" fillId="34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center" vertical="top" wrapText="1"/>
    </xf>
    <xf numFmtId="0" fontId="18" fillId="35" borderId="0" xfId="0" applyFont="1" applyFill="1" applyAlignment="1">
      <alignment horizontal="center" vertical="center" wrapText="1"/>
    </xf>
    <xf numFmtId="0" fontId="18" fillId="36" borderId="0" xfId="0" applyFont="1" applyFill="1" applyAlignment="1">
      <alignment horizontal="center" vertical="center" wrapText="1"/>
    </xf>
    <xf numFmtId="0" fontId="18" fillId="36" borderId="0" xfId="0" applyFont="1" applyFill="1" applyAlignment="1">
      <alignment horizontal="center" vertical="center"/>
    </xf>
    <xf numFmtId="0" fontId="18" fillId="35" borderId="0" xfId="0" applyFont="1" applyFill="1" applyAlignment="1">
      <alignment horizontal="center" vertical="center"/>
    </xf>
    <xf numFmtId="0" fontId="18" fillId="0" borderId="0" xfId="0" applyFont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G16" sqref="A2:G20"/>
    </sheetView>
  </sheetViews>
  <sheetFormatPr defaultRowHeight="15" x14ac:dyDescent="0.25"/>
  <cols>
    <col min="1" max="1" width="10.28515625" style="1" customWidth="1"/>
    <col min="2" max="2" width="16.140625" style="1" customWidth="1"/>
    <col min="3" max="3" width="10.7109375" style="1" customWidth="1"/>
    <col min="4" max="4" width="31" style="1" bestFit="1" customWidth="1"/>
    <col min="5" max="8" width="9.5703125" style="1" customWidth="1"/>
    <col min="9" max="16384" width="9.140625" style="1"/>
  </cols>
  <sheetData>
    <row r="1" spans="1:8" ht="30" x14ac:dyDescent="0.25">
      <c r="A1" s="5" t="s">
        <v>24</v>
      </c>
      <c r="B1" s="6" t="s">
        <v>3</v>
      </c>
      <c r="C1" s="6" t="s">
        <v>8</v>
      </c>
      <c r="D1" s="6" t="s">
        <v>0</v>
      </c>
      <c r="E1" s="5" t="s">
        <v>4</v>
      </c>
      <c r="F1" s="5" t="s">
        <v>59</v>
      </c>
      <c r="G1" s="5" t="s">
        <v>76</v>
      </c>
      <c r="H1" s="5" t="s">
        <v>77</v>
      </c>
    </row>
    <row r="2" spans="1:8" x14ac:dyDescent="0.25">
      <c r="A2" s="31" t="s">
        <v>23</v>
      </c>
      <c r="B2" s="35" t="s">
        <v>11</v>
      </c>
      <c r="C2" s="29" t="s">
        <v>10</v>
      </c>
      <c r="D2" s="7" t="s">
        <v>12</v>
      </c>
      <c r="E2" s="16">
        <v>44</v>
      </c>
      <c r="F2" s="16" t="s">
        <v>60</v>
      </c>
      <c r="G2" s="15" t="s">
        <v>84</v>
      </c>
      <c r="H2" s="16" t="s">
        <v>60</v>
      </c>
    </row>
    <row r="3" spans="1:8" x14ac:dyDescent="0.25">
      <c r="A3" s="31"/>
      <c r="B3" s="35"/>
      <c r="C3" s="29"/>
      <c r="D3" s="7" t="s">
        <v>13</v>
      </c>
      <c r="E3" s="16">
        <v>45</v>
      </c>
      <c r="F3" s="16" t="s">
        <v>60</v>
      </c>
      <c r="G3" s="15" t="s">
        <v>85</v>
      </c>
      <c r="H3" s="16" t="s">
        <v>60</v>
      </c>
    </row>
    <row r="4" spans="1:8" x14ac:dyDescent="0.25">
      <c r="A4" s="31"/>
      <c r="B4" s="35"/>
      <c r="C4" s="29"/>
      <c r="D4" s="7" t="s">
        <v>14</v>
      </c>
      <c r="E4" s="16">
        <v>46</v>
      </c>
      <c r="F4" s="16" t="s">
        <v>60</v>
      </c>
      <c r="G4" s="15" t="s">
        <v>86</v>
      </c>
      <c r="H4" s="16" t="s">
        <v>60</v>
      </c>
    </row>
    <row r="5" spans="1:8" x14ac:dyDescent="0.25">
      <c r="A5" s="31"/>
      <c r="B5" s="35"/>
      <c r="C5" s="29"/>
      <c r="D5" s="7" t="s">
        <v>15</v>
      </c>
      <c r="E5" s="16">
        <v>47</v>
      </c>
      <c r="F5" s="16" t="s">
        <v>60</v>
      </c>
      <c r="G5" s="15" t="s">
        <v>87</v>
      </c>
      <c r="H5" s="16" t="s">
        <v>60</v>
      </c>
    </row>
    <row r="6" spans="1:8" x14ac:dyDescent="0.25">
      <c r="A6" s="31"/>
      <c r="B6" s="35"/>
      <c r="C6" s="29"/>
      <c r="D6" s="7" t="s">
        <v>16</v>
      </c>
      <c r="E6" s="16">
        <v>48</v>
      </c>
      <c r="F6" s="16" t="s">
        <v>60</v>
      </c>
      <c r="G6" s="15" t="s">
        <v>88</v>
      </c>
      <c r="H6" s="16" t="s">
        <v>60</v>
      </c>
    </row>
    <row r="7" spans="1:8" x14ac:dyDescent="0.25">
      <c r="A7" s="31" t="s">
        <v>25</v>
      </c>
      <c r="B7" s="30" t="s">
        <v>21</v>
      </c>
      <c r="C7" s="36" t="s">
        <v>9</v>
      </c>
      <c r="D7" s="2" t="s">
        <v>1</v>
      </c>
      <c r="E7" s="13">
        <v>22</v>
      </c>
      <c r="F7" s="13" t="s">
        <v>60</v>
      </c>
      <c r="G7" s="15" t="s">
        <v>89</v>
      </c>
      <c r="H7" s="16" t="s">
        <v>60</v>
      </c>
    </row>
    <row r="8" spans="1:8" x14ac:dyDescent="0.25">
      <c r="A8" s="31"/>
      <c r="B8" s="30"/>
      <c r="C8" s="36"/>
      <c r="D8" s="2" t="s">
        <v>2</v>
      </c>
      <c r="E8" s="13">
        <v>23</v>
      </c>
      <c r="F8" s="13" t="s">
        <v>60</v>
      </c>
      <c r="G8" s="15" t="s">
        <v>90</v>
      </c>
      <c r="H8" s="16" t="s">
        <v>60</v>
      </c>
    </row>
    <row r="9" spans="1:8" x14ac:dyDescent="0.25">
      <c r="A9" s="31"/>
      <c r="B9" s="30" t="s">
        <v>5</v>
      </c>
      <c r="C9" s="36" t="s">
        <v>9</v>
      </c>
      <c r="D9" s="2" t="s">
        <v>1</v>
      </c>
      <c r="E9" s="13">
        <v>24</v>
      </c>
      <c r="F9" s="13" t="s">
        <v>60</v>
      </c>
      <c r="G9" s="15" t="s">
        <v>91</v>
      </c>
      <c r="H9" s="16" t="s">
        <v>60</v>
      </c>
    </row>
    <row r="10" spans="1:8" x14ac:dyDescent="0.25">
      <c r="A10" s="31"/>
      <c r="B10" s="30"/>
      <c r="C10" s="36"/>
      <c r="D10" s="2" t="s">
        <v>2</v>
      </c>
      <c r="E10" s="13">
        <v>25</v>
      </c>
      <c r="F10" s="13" t="s">
        <v>60</v>
      </c>
      <c r="G10" s="15" t="s">
        <v>92</v>
      </c>
      <c r="H10" s="16" t="s">
        <v>60</v>
      </c>
    </row>
    <row r="11" spans="1:8" x14ac:dyDescent="0.25">
      <c r="A11" s="31"/>
      <c r="B11" s="30" t="s">
        <v>6</v>
      </c>
      <c r="C11" s="36" t="s">
        <v>10</v>
      </c>
      <c r="D11" s="2" t="s">
        <v>1</v>
      </c>
      <c r="E11" s="13">
        <v>26</v>
      </c>
      <c r="F11" s="13" t="s">
        <v>60</v>
      </c>
      <c r="G11" s="15" t="s">
        <v>93</v>
      </c>
      <c r="H11" s="16" t="s">
        <v>60</v>
      </c>
    </row>
    <row r="12" spans="1:8" x14ac:dyDescent="0.25">
      <c r="A12" s="31"/>
      <c r="B12" s="30"/>
      <c r="C12" s="36"/>
      <c r="D12" s="2" t="s">
        <v>2</v>
      </c>
      <c r="E12" s="13">
        <v>27</v>
      </c>
      <c r="F12" s="13" t="s">
        <v>60</v>
      </c>
      <c r="G12" s="15" t="s">
        <v>94</v>
      </c>
      <c r="H12" s="16" t="s">
        <v>60</v>
      </c>
    </row>
    <row r="13" spans="1:8" x14ac:dyDescent="0.25">
      <c r="A13" s="31"/>
      <c r="B13" s="30" t="s">
        <v>7</v>
      </c>
      <c r="C13" s="36" t="s">
        <v>10</v>
      </c>
      <c r="D13" s="2" t="s">
        <v>1</v>
      </c>
      <c r="E13" s="13">
        <v>28</v>
      </c>
      <c r="F13" s="13" t="s">
        <v>60</v>
      </c>
      <c r="G13" s="15" t="s">
        <v>95</v>
      </c>
      <c r="H13" s="16" t="s">
        <v>60</v>
      </c>
    </row>
    <row r="14" spans="1:8" x14ac:dyDescent="0.25">
      <c r="A14" s="31"/>
      <c r="B14" s="30"/>
      <c r="C14" s="36"/>
      <c r="D14" s="2" t="s">
        <v>2</v>
      </c>
      <c r="E14" s="13">
        <v>29</v>
      </c>
      <c r="F14" s="13" t="s">
        <v>60</v>
      </c>
      <c r="G14" s="15" t="s">
        <v>96</v>
      </c>
      <c r="H14" s="16" t="s">
        <v>60</v>
      </c>
    </row>
    <row r="15" spans="1:8" x14ac:dyDescent="0.25">
      <c r="A15" s="31" t="s">
        <v>26</v>
      </c>
      <c r="B15" s="32" t="s">
        <v>18</v>
      </c>
      <c r="C15" s="36" t="s">
        <v>17</v>
      </c>
      <c r="D15" s="2" t="s">
        <v>1</v>
      </c>
      <c r="E15" s="13">
        <v>30</v>
      </c>
      <c r="F15" s="13" t="s">
        <v>60</v>
      </c>
      <c r="G15" s="15" t="s">
        <v>98</v>
      </c>
      <c r="H15" s="16" t="s">
        <v>60</v>
      </c>
    </row>
    <row r="16" spans="1:8" x14ac:dyDescent="0.25">
      <c r="A16" s="31"/>
      <c r="B16" s="32"/>
      <c r="C16" s="36"/>
      <c r="D16" s="2" t="s">
        <v>2</v>
      </c>
      <c r="E16" s="13">
        <v>31</v>
      </c>
      <c r="F16" s="13" t="s">
        <v>60</v>
      </c>
      <c r="G16" s="15" t="s">
        <v>97</v>
      </c>
      <c r="H16" s="16" t="s">
        <v>60</v>
      </c>
    </row>
    <row r="17" spans="1:8" x14ac:dyDescent="0.25">
      <c r="A17" s="31"/>
      <c r="B17" s="35" t="s">
        <v>19</v>
      </c>
      <c r="C17" s="29" t="s">
        <v>17</v>
      </c>
      <c r="D17" s="2" t="s">
        <v>1</v>
      </c>
      <c r="E17" s="13">
        <v>32</v>
      </c>
      <c r="F17" s="13" t="s">
        <v>60</v>
      </c>
      <c r="G17" s="16" t="s">
        <v>60</v>
      </c>
      <c r="H17" s="15" t="s">
        <v>84</v>
      </c>
    </row>
    <row r="18" spans="1:8" x14ac:dyDescent="0.25">
      <c r="A18" s="31"/>
      <c r="B18" s="35"/>
      <c r="C18" s="29"/>
      <c r="D18" s="2" t="s">
        <v>2</v>
      </c>
      <c r="E18" s="13">
        <v>33</v>
      </c>
      <c r="F18" s="13" t="s">
        <v>60</v>
      </c>
      <c r="G18" s="16" t="s">
        <v>60</v>
      </c>
      <c r="H18" s="15" t="s">
        <v>85</v>
      </c>
    </row>
    <row r="19" spans="1:8" x14ac:dyDescent="0.25">
      <c r="A19" s="31"/>
      <c r="B19" s="32" t="s">
        <v>20</v>
      </c>
      <c r="C19" s="36" t="s">
        <v>17</v>
      </c>
      <c r="D19" s="2" t="s">
        <v>1</v>
      </c>
      <c r="E19" s="13">
        <v>34</v>
      </c>
      <c r="F19" s="13" t="s">
        <v>60</v>
      </c>
      <c r="G19" s="16" t="s">
        <v>60</v>
      </c>
      <c r="H19" s="15" t="s">
        <v>86</v>
      </c>
    </row>
    <row r="20" spans="1:8" x14ac:dyDescent="0.25">
      <c r="A20" s="31"/>
      <c r="B20" s="32"/>
      <c r="C20" s="36"/>
      <c r="D20" s="2" t="s">
        <v>2</v>
      </c>
      <c r="E20" s="13">
        <v>35</v>
      </c>
      <c r="F20" s="13" t="s">
        <v>60</v>
      </c>
      <c r="G20" s="16" t="s">
        <v>60</v>
      </c>
      <c r="H20" s="15" t="s">
        <v>87</v>
      </c>
    </row>
    <row r="21" spans="1:8" x14ac:dyDescent="0.25">
      <c r="A21" s="31" t="s">
        <v>27</v>
      </c>
      <c r="B21" s="33" t="s">
        <v>22</v>
      </c>
      <c r="C21" s="36" t="s">
        <v>31</v>
      </c>
      <c r="D21" s="2" t="s">
        <v>1</v>
      </c>
      <c r="E21" s="13">
        <v>36</v>
      </c>
      <c r="F21" s="13" t="s">
        <v>60</v>
      </c>
      <c r="G21" s="16" t="s">
        <v>60</v>
      </c>
      <c r="H21" s="15" t="s">
        <v>88</v>
      </c>
    </row>
    <row r="22" spans="1:8" x14ac:dyDescent="0.25">
      <c r="A22" s="31"/>
      <c r="B22" s="33"/>
      <c r="C22" s="36"/>
      <c r="D22" s="2" t="s">
        <v>2</v>
      </c>
      <c r="E22" s="13">
        <v>37</v>
      </c>
      <c r="F22" s="13" t="s">
        <v>60</v>
      </c>
      <c r="G22" s="16" t="s">
        <v>60</v>
      </c>
      <c r="H22" s="15" t="s">
        <v>89</v>
      </c>
    </row>
    <row r="23" spans="1:8" x14ac:dyDescent="0.25">
      <c r="A23" s="31"/>
      <c r="B23" s="33" t="s">
        <v>28</v>
      </c>
      <c r="C23" s="36" t="s">
        <v>31</v>
      </c>
      <c r="D23" s="2" t="s">
        <v>1</v>
      </c>
      <c r="E23" s="13">
        <v>38</v>
      </c>
      <c r="F23" s="13" t="s">
        <v>60</v>
      </c>
      <c r="G23" s="16" t="s">
        <v>60</v>
      </c>
      <c r="H23" s="15" t="s">
        <v>90</v>
      </c>
    </row>
    <row r="24" spans="1:8" x14ac:dyDescent="0.25">
      <c r="A24" s="31"/>
      <c r="B24" s="33"/>
      <c r="C24" s="36"/>
      <c r="D24" s="2" t="s">
        <v>2</v>
      </c>
      <c r="E24" s="14">
        <v>39</v>
      </c>
      <c r="F24" s="14" t="s">
        <v>60</v>
      </c>
      <c r="G24" s="16" t="s">
        <v>60</v>
      </c>
      <c r="H24" s="15" t="s">
        <v>91</v>
      </c>
    </row>
    <row r="25" spans="1:8" x14ac:dyDescent="0.25">
      <c r="A25" s="31"/>
      <c r="B25" s="34" t="s">
        <v>29</v>
      </c>
      <c r="C25" s="29" t="s">
        <v>31</v>
      </c>
      <c r="D25" s="3" t="s">
        <v>1</v>
      </c>
      <c r="E25" s="14">
        <v>40</v>
      </c>
      <c r="F25" s="14" t="s">
        <v>60</v>
      </c>
      <c r="G25" s="16" t="s">
        <v>60</v>
      </c>
      <c r="H25" s="15" t="s">
        <v>92</v>
      </c>
    </row>
    <row r="26" spans="1:8" x14ac:dyDescent="0.25">
      <c r="A26" s="31"/>
      <c r="B26" s="34"/>
      <c r="C26" s="29"/>
      <c r="D26" s="3" t="s">
        <v>2</v>
      </c>
      <c r="E26" s="14">
        <v>41</v>
      </c>
      <c r="F26" s="14" t="s">
        <v>60</v>
      </c>
      <c r="G26" s="16" t="s">
        <v>60</v>
      </c>
      <c r="H26" s="15" t="s">
        <v>93</v>
      </c>
    </row>
    <row r="27" spans="1:8" x14ac:dyDescent="0.25">
      <c r="A27" s="31"/>
      <c r="B27" s="34" t="s">
        <v>30</v>
      </c>
      <c r="C27" s="29" t="s">
        <v>31</v>
      </c>
      <c r="D27" s="3" t="s">
        <v>1</v>
      </c>
      <c r="E27" s="14">
        <v>42</v>
      </c>
      <c r="F27" s="14" t="s">
        <v>60</v>
      </c>
      <c r="G27" s="16" t="s">
        <v>60</v>
      </c>
      <c r="H27" s="15" t="s">
        <v>95</v>
      </c>
    </row>
    <row r="28" spans="1:8" x14ac:dyDescent="0.25">
      <c r="A28" s="31"/>
      <c r="B28" s="34"/>
      <c r="C28" s="29"/>
      <c r="D28" s="3" t="s">
        <v>2</v>
      </c>
      <c r="E28" s="14">
        <v>43</v>
      </c>
      <c r="F28" s="14" t="s">
        <v>60</v>
      </c>
      <c r="G28" s="16" t="s">
        <v>60</v>
      </c>
      <c r="H28" s="15" t="s">
        <v>96</v>
      </c>
    </row>
    <row r="29" spans="1:8" x14ac:dyDescent="0.25">
      <c r="E29" s="14"/>
      <c r="F29" s="4"/>
      <c r="G29" s="14"/>
      <c r="H29" s="14"/>
    </row>
    <row r="30" spans="1:8" x14ac:dyDescent="0.25">
      <c r="C30" s="4" t="s">
        <v>61</v>
      </c>
      <c r="D30" s="17" t="s">
        <v>36</v>
      </c>
      <c r="E30" s="28" t="s">
        <v>34</v>
      </c>
      <c r="F30" s="26">
        <v>22</v>
      </c>
      <c r="G30" s="16" t="s">
        <v>60</v>
      </c>
      <c r="H30" s="16" t="s">
        <v>60</v>
      </c>
    </row>
    <row r="31" spans="1:8" x14ac:dyDescent="0.25">
      <c r="C31" s="4" t="s">
        <v>61</v>
      </c>
      <c r="D31" s="17" t="s">
        <v>37</v>
      </c>
      <c r="E31" s="28" t="s">
        <v>35</v>
      </c>
      <c r="F31" s="26">
        <v>23</v>
      </c>
      <c r="G31" s="16" t="s">
        <v>60</v>
      </c>
      <c r="H31" s="16" t="s">
        <v>60</v>
      </c>
    </row>
    <row r="32" spans="1:8" x14ac:dyDescent="0.25">
      <c r="C32" s="4" t="s">
        <v>61</v>
      </c>
      <c r="D32" s="17" t="s">
        <v>38</v>
      </c>
      <c r="E32" s="28" t="s">
        <v>32</v>
      </c>
      <c r="F32" s="26">
        <v>24</v>
      </c>
      <c r="G32" s="16" t="s">
        <v>60</v>
      </c>
      <c r="H32" s="16" t="s">
        <v>60</v>
      </c>
    </row>
    <row r="33" spans="3:9" x14ac:dyDescent="0.25">
      <c r="C33" s="4" t="s">
        <v>61</v>
      </c>
      <c r="D33" s="17" t="s">
        <v>39</v>
      </c>
      <c r="E33" s="28" t="s">
        <v>33</v>
      </c>
      <c r="F33" s="26">
        <v>25</v>
      </c>
      <c r="G33" s="16" t="s">
        <v>60</v>
      </c>
      <c r="H33" s="16" t="s">
        <v>60</v>
      </c>
    </row>
    <row r="34" spans="3:9" x14ac:dyDescent="0.25">
      <c r="C34" s="4" t="s">
        <v>62</v>
      </c>
      <c r="D34" s="1" t="s">
        <v>79</v>
      </c>
      <c r="E34" s="4" t="s">
        <v>60</v>
      </c>
      <c r="F34" s="27" t="s">
        <v>34</v>
      </c>
      <c r="G34" s="15" t="s">
        <v>99</v>
      </c>
      <c r="H34" s="16" t="s">
        <v>60</v>
      </c>
    </row>
    <row r="35" spans="3:9" x14ac:dyDescent="0.25">
      <c r="C35" s="4" t="s">
        <v>62</v>
      </c>
      <c r="D35" s="1" t="s">
        <v>80</v>
      </c>
      <c r="E35" s="4" t="s">
        <v>60</v>
      </c>
      <c r="F35" s="27" t="s">
        <v>35</v>
      </c>
      <c r="G35" s="15" t="s">
        <v>100</v>
      </c>
      <c r="H35" s="16" t="s">
        <v>60</v>
      </c>
    </row>
    <row r="36" spans="3:9" x14ac:dyDescent="0.25">
      <c r="C36" s="4" t="s">
        <v>62</v>
      </c>
      <c r="D36" s="1" t="s">
        <v>81</v>
      </c>
      <c r="E36" s="4" t="s">
        <v>60</v>
      </c>
      <c r="F36" s="27" t="s">
        <v>32</v>
      </c>
      <c r="G36" s="16" t="s">
        <v>60</v>
      </c>
      <c r="H36" s="15" t="s">
        <v>99</v>
      </c>
    </row>
    <row r="37" spans="3:9" x14ac:dyDescent="0.25">
      <c r="C37" s="4" t="s">
        <v>62</v>
      </c>
      <c r="D37" s="1" t="s">
        <v>82</v>
      </c>
      <c r="E37" s="4" t="s">
        <v>60</v>
      </c>
      <c r="F37" s="27" t="s">
        <v>33</v>
      </c>
      <c r="G37" s="16" t="s">
        <v>60</v>
      </c>
      <c r="H37" s="15" t="s">
        <v>100</v>
      </c>
    </row>
    <row r="38" spans="3:9" x14ac:dyDescent="0.25">
      <c r="F38" s="25" t="s">
        <v>78</v>
      </c>
      <c r="G38" s="4">
        <f>COUNT(G2:G37)</f>
        <v>0</v>
      </c>
      <c r="H38" s="4">
        <f>COUNT(H2:H37)</f>
        <v>0</v>
      </c>
      <c r="I38" s="8" t="s">
        <v>83</v>
      </c>
    </row>
  </sheetData>
  <mergeCells count="28">
    <mergeCell ref="C27:C28"/>
    <mergeCell ref="C25:C26"/>
    <mergeCell ref="C23:C24"/>
    <mergeCell ref="C7:C8"/>
    <mergeCell ref="C9:C10"/>
    <mergeCell ref="C11:C12"/>
    <mergeCell ref="C13:C14"/>
    <mergeCell ref="C15:C16"/>
    <mergeCell ref="C17:C18"/>
    <mergeCell ref="C19:C20"/>
    <mergeCell ref="C21:C22"/>
    <mergeCell ref="B23:B24"/>
    <mergeCell ref="B25:B26"/>
    <mergeCell ref="B27:B28"/>
    <mergeCell ref="A21:A28"/>
    <mergeCell ref="A2:A6"/>
    <mergeCell ref="B2:B6"/>
    <mergeCell ref="B19:B20"/>
    <mergeCell ref="B21:B22"/>
    <mergeCell ref="B17:B18"/>
    <mergeCell ref="C2:C6"/>
    <mergeCell ref="B11:B12"/>
    <mergeCell ref="B13:B14"/>
    <mergeCell ref="A7:A14"/>
    <mergeCell ref="B15:B16"/>
    <mergeCell ref="A15:A20"/>
    <mergeCell ref="B9:B10"/>
    <mergeCell ref="B7:B8"/>
  </mergeCells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workbookViewId="0">
      <selection activeCell="C17" sqref="C17"/>
    </sheetView>
  </sheetViews>
  <sheetFormatPr defaultRowHeight="15" x14ac:dyDescent="0.25"/>
  <cols>
    <col min="1" max="1" width="29.140625" bestFit="1" customWidth="1"/>
    <col min="2" max="2" width="48.5703125" bestFit="1" customWidth="1"/>
    <col min="3" max="3" width="36.42578125" bestFit="1" customWidth="1"/>
  </cols>
  <sheetData>
    <row r="1" spans="1:4" ht="30" x14ac:dyDescent="0.25">
      <c r="A1" s="12" t="s">
        <v>58</v>
      </c>
      <c r="B1" s="10">
        <f>SUM(C2,C6,C7,C17)</f>
        <v>0</v>
      </c>
    </row>
    <row r="2" spans="1:4" x14ac:dyDescent="0.25">
      <c r="B2" t="s">
        <v>40</v>
      </c>
      <c r="C2" s="10">
        <f>SUM(D3:D5)</f>
        <v>0</v>
      </c>
    </row>
    <row r="3" spans="1:4" x14ac:dyDescent="0.25">
      <c r="C3" t="s">
        <v>52</v>
      </c>
      <c r="D3" s="9"/>
    </row>
    <row r="4" spans="1:4" x14ac:dyDescent="0.25">
      <c r="C4" t="s">
        <v>53</v>
      </c>
      <c r="D4" s="9"/>
    </row>
    <row r="5" spans="1:4" x14ac:dyDescent="0.25">
      <c r="C5" t="s">
        <v>54</v>
      </c>
      <c r="D5" s="9"/>
    </row>
    <row r="6" spans="1:4" x14ac:dyDescent="0.25">
      <c r="B6" t="s">
        <v>41</v>
      </c>
      <c r="C6" s="9"/>
    </row>
    <row r="7" spans="1:4" x14ac:dyDescent="0.25">
      <c r="B7" t="s">
        <v>55</v>
      </c>
      <c r="C7" s="10">
        <f>SUM(D8:D16)</f>
        <v>0</v>
      </c>
    </row>
    <row r="8" spans="1:4" x14ac:dyDescent="0.25">
      <c r="C8" t="s">
        <v>43</v>
      </c>
      <c r="D8" s="9"/>
    </row>
    <row r="9" spans="1:4" x14ac:dyDescent="0.25">
      <c r="C9" t="s">
        <v>44</v>
      </c>
      <c r="D9" s="9"/>
    </row>
    <row r="10" spans="1:4" x14ac:dyDescent="0.25">
      <c r="C10" s="19" t="s">
        <v>45</v>
      </c>
      <c r="D10" s="9"/>
    </row>
    <row r="11" spans="1:4" x14ac:dyDescent="0.25">
      <c r="C11" t="s">
        <v>46</v>
      </c>
      <c r="D11" s="9"/>
    </row>
    <row r="12" spans="1:4" x14ac:dyDescent="0.25">
      <c r="C12" t="s">
        <v>47</v>
      </c>
      <c r="D12" s="9"/>
    </row>
    <row r="13" spans="1:4" x14ac:dyDescent="0.25">
      <c r="C13" s="8" t="s">
        <v>48</v>
      </c>
      <c r="D13" s="9"/>
    </row>
    <row r="14" spans="1:4" x14ac:dyDescent="0.25">
      <c r="C14" s="8" t="s">
        <v>49</v>
      </c>
      <c r="D14" s="9"/>
    </row>
    <row r="15" spans="1:4" x14ac:dyDescent="0.25">
      <c r="C15" s="8" t="s">
        <v>50</v>
      </c>
      <c r="D15" s="9"/>
    </row>
    <row r="16" spans="1:4" x14ac:dyDescent="0.25">
      <c r="C16" s="8" t="s">
        <v>51</v>
      </c>
      <c r="D16" s="9"/>
    </row>
    <row r="17" spans="1:4" x14ac:dyDescent="0.25">
      <c r="B17" t="s">
        <v>42</v>
      </c>
      <c r="C17" s="11"/>
    </row>
    <row r="19" spans="1:4" ht="30" x14ac:dyDescent="0.25">
      <c r="A19" s="12" t="s">
        <v>57</v>
      </c>
      <c r="B19" s="10">
        <f>SUM(C20:C21)</f>
        <v>0</v>
      </c>
    </row>
    <row r="20" spans="1:4" x14ac:dyDescent="0.25">
      <c r="B20" t="s">
        <v>41</v>
      </c>
      <c r="C20" s="11"/>
    </row>
    <row r="21" spans="1:4" x14ac:dyDescent="0.25">
      <c r="B21" t="s">
        <v>56</v>
      </c>
      <c r="C21" s="10">
        <f>SUM(D22:D23)</f>
        <v>0</v>
      </c>
    </row>
    <row r="22" spans="1:4" x14ac:dyDescent="0.25">
      <c r="C22" t="s">
        <v>43</v>
      </c>
      <c r="D22" s="9"/>
    </row>
    <row r="23" spans="1:4" x14ac:dyDescent="0.25">
      <c r="C23" t="s">
        <v>44</v>
      </c>
      <c r="D23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activeCell="C10" sqref="C10"/>
    </sheetView>
  </sheetViews>
  <sheetFormatPr defaultRowHeight="15" x14ac:dyDescent="0.25"/>
  <cols>
    <col min="1" max="1" width="17.85546875" bestFit="1" customWidth="1"/>
    <col min="2" max="3" width="16.85546875" customWidth="1"/>
  </cols>
  <sheetData>
    <row r="1" spans="1:3" x14ac:dyDescent="0.25">
      <c r="B1" s="24" t="s">
        <v>64</v>
      </c>
      <c r="C1" s="24" t="s">
        <v>63</v>
      </c>
    </row>
    <row r="2" spans="1:3" x14ac:dyDescent="0.25">
      <c r="A2" t="s">
        <v>66</v>
      </c>
      <c r="B2" s="21">
        <v>54</v>
      </c>
      <c r="C2" s="21">
        <v>22</v>
      </c>
    </row>
    <row r="3" spans="1:3" x14ac:dyDescent="0.25">
      <c r="A3" s="20" t="s">
        <v>65</v>
      </c>
      <c r="B3" s="22">
        <v>15</v>
      </c>
      <c r="C3" s="22">
        <v>6</v>
      </c>
    </row>
    <row r="4" spans="1:3" x14ac:dyDescent="0.25">
      <c r="A4" s="20" t="s">
        <v>67</v>
      </c>
      <c r="B4" s="22">
        <v>16</v>
      </c>
      <c r="C4" s="22">
        <v>8</v>
      </c>
    </row>
    <row r="5" spans="1:3" x14ac:dyDescent="0.25">
      <c r="A5" t="s">
        <v>68</v>
      </c>
      <c r="B5" s="21" t="s">
        <v>72</v>
      </c>
      <c r="C5" s="21" t="s">
        <v>75</v>
      </c>
    </row>
    <row r="6" spans="1:3" x14ac:dyDescent="0.25">
      <c r="A6" t="s">
        <v>69</v>
      </c>
      <c r="B6" s="21" t="s">
        <v>73</v>
      </c>
      <c r="C6" s="21" t="s">
        <v>74</v>
      </c>
    </row>
    <row r="7" spans="1:3" x14ac:dyDescent="0.25">
      <c r="A7" s="18" t="s">
        <v>70</v>
      </c>
      <c r="B7" s="23" t="s">
        <v>71</v>
      </c>
      <c r="C7" s="2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Pin updates</vt:lpstr>
      <vt:lpstr>Timing Budgets</vt:lpstr>
      <vt:lpstr>Mega vs Nano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Deriabine</dc:creator>
  <cp:lastModifiedBy>Anton Deriabine</cp:lastModifiedBy>
  <dcterms:created xsi:type="dcterms:W3CDTF">2025-01-11T20:56:24Z</dcterms:created>
  <dcterms:modified xsi:type="dcterms:W3CDTF">2025-01-26T05:21:32Z</dcterms:modified>
</cp:coreProperties>
</file>