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ton\Documents\Kerbal Space Program\Kerbal_Control_Panel\KCP2\CAD\"/>
    </mc:Choice>
  </mc:AlternateContent>
  <bookViews>
    <workbookView xWindow="0" yWindow="0" windowWidth="15630" windowHeight="85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0" i="1"/>
  <c r="B8" i="1"/>
  <c r="C8" i="1" s="1"/>
  <c r="D8" i="1" s="1"/>
  <c r="B9" i="1"/>
  <c r="C9" i="1" s="1"/>
  <c r="D9" i="1" s="1"/>
  <c r="C4" i="1"/>
  <c r="C5" i="1"/>
  <c r="C6" i="1"/>
  <c r="D6" i="1" s="1"/>
  <c r="C7" i="1"/>
  <c r="C3" i="1"/>
  <c r="D4" i="1"/>
  <c r="D5" i="1"/>
  <c r="D7" i="1"/>
  <c r="D3" i="1"/>
  <c r="D13" i="1" l="1"/>
</calcChain>
</file>

<file path=xl/sharedStrings.xml><?xml version="1.0" encoding="utf-8"?>
<sst xmlns="http://schemas.openxmlformats.org/spreadsheetml/2006/main" count="16" uniqueCount="16">
  <si>
    <t>Part</t>
  </si>
  <si>
    <t>Weight (kg)</t>
  </si>
  <si>
    <t>Volume (m^3)</t>
  </si>
  <si>
    <t>Panel Case Version Number: v50</t>
  </si>
  <si>
    <t>Top Plate</t>
  </si>
  <si>
    <t>Mounting Plate</t>
  </si>
  <si>
    <t>Bottom Plate</t>
  </si>
  <si>
    <t>Back Plate</t>
  </si>
  <si>
    <t>Dodge Plate</t>
  </si>
  <si>
    <t>Electronics + Wiring</t>
  </si>
  <si>
    <t>Keyboard Pillars</t>
  </si>
  <si>
    <t>Support Columns</t>
  </si>
  <si>
    <t>Volume (mm^3)</t>
  </si>
  <si>
    <t>Total (kg)</t>
  </si>
  <si>
    <t>Total (pnds)</t>
  </si>
  <si>
    <t>3D printed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</si>
</sst>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12" sqref="D12"/>
    </sheetView>
  </sheetViews>
  <sheetFormatPr defaultRowHeight="15" x14ac:dyDescent="0.25"/>
  <cols>
    <col min="1" max="1" width="19.85546875" customWidth="1"/>
    <col min="2" max="2" width="15.42578125" bestFit="1" customWidth="1"/>
    <col min="3" max="3" width="13.7109375" bestFit="1" customWidth="1"/>
    <col min="4" max="4" width="11.42578125" bestFit="1" customWidth="1"/>
  </cols>
  <sheetData>
    <row r="1" spans="1:4" x14ac:dyDescent="0.25">
      <c r="A1" t="s">
        <v>3</v>
      </c>
    </row>
    <row r="2" spans="1:4" x14ac:dyDescent="0.25">
      <c r="A2" s="1" t="s">
        <v>0</v>
      </c>
      <c r="B2" s="1" t="s">
        <v>12</v>
      </c>
      <c r="C2" s="1" t="s">
        <v>2</v>
      </c>
      <c r="D2" s="1" t="s">
        <v>1</v>
      </c>
    </row>
    <row r="3" spans="1:4" x14ac:dyDescent="0.25">
      <c r="A3" t="s">
        <v>4</v>
      </c>
      <c r="B3" s="2">
        <v>378000</v>
      </c>
      <c r="C3">
        <f>B3/(1000*1000*1000)</f>
        <v>3.7800000000000003E-4</v>
      </c>
      <c r="D3" s="3">
        <f>C3*2700</f>
        <v>1.0206000000000002</v>
      </c>
    </row>
    <row r="4" spans="1:4" x14ac:dyDescent="0.25">
      <c r="A4" t="s">
        <v>5</v>
      </c>
      <c r="B4" s="2">
        <v>178000</v>
      </c>
      <c r="C4">
        <f t="shared" ref="C4:C9" si="0">B4/(1000*1000*1000)</f>
        <v>1.7799999999999999E-4</v>
      </c>
      <c r="D4" s="3">
        <f t="shared" ref="D4:D9" si="1">C4*2700</f>
        <v>0.48059999999999997</v>
      </c>
    </row>
    <row r="5" spans="1:4" x14ac:dyDescent="0.25">
      <c r="A5" t="s">
        <v>6</v>
      </c>
      <c r="B5" s="2">
        <v>753900</v>
      </c>
      <c r="C5">
        <f t="shared" si="0"/>
        <v>7.5389999999999995E-4</v>
      </c>
      <c r="D5" s="3">
        <f t="shared" si="1"/>
        <v>2.0355300000000001</v>
      </c>
    </row>
    <row r="6" spans="1:4" x14ac:dyDescent="0.25">
      <c r="A6" t="s">
        <v>7</v>
      </c>
      <c r="B6" s="2">
        <v>369900</v>
      </c>
      <c r="C6">
        <f t="shared" si="0"/>
        <v>3.6989999999999999E-4</v>
      </c>
      <c r="D6" s="3">
        <f t="shared" si="1"/>
        <v>0.99873000000000001</v>
      </c>
    </row>
    <row r="7" spans="1:4" x14ac:dyDescent="0.25">
      <c r="A7" t="s">
        <v>8</v>
      </c>
      <c r="B7" s="2">
        <v>183700</v>
      </c>
      <c r="C7">
        <f t="shared" si="0"/>
        <v>1.8369999999999999E-4</v>
      </c>
      <c r="D7" s="3">
        <f t="shared" si="1"/>
        <v>0.49598999999999999</v>
      </c>
    </row>
    <row r="8" spans="1:4" x14ac:dyDescent="0.25">
      <c r="A8" t="s">
        <v>11</v>
      </c>
      <c r="B8">
        <f>6319*2 + 8517</f>
        <v>21155</v>
      </c>
      <c r="C8">
        <f t="shared" si="0"/>
        <v>2.1155E-5</v>
      </c>
      <c r="D8" s="3">
        <f t="shared" si="1"/>
        <v>5.7118500000000003E-2</v>
      </c>
    </row>
    <row r="9" spans="1:4" x14ac:dyDescent="0.25">
      <c r="A9" t="s">
        <v>10</v>
      </c>
      <c r="B9">
        <f>2*5740 + 2*9084</f>
        <v>29648</v>
      </c>
      <c r="C9">
        <f t="shared" si="0"/>
        <v>2.9648000000000001E-5</v>
      </c>
      <c r="D9" s="3">
        <f t="shared" si="1"/>
        <v>8.0049599999999999E-2</v>
      </c>
    </row>
    <row r="10" spans="1:4" x14ac:dyDescent="0.25">
      <c r="A10" t="s">
        <v>9</v>
      </c>
      <c r="D10" s="3">
        <f>5.4/2.2</f>
        <v>2.4545454545454546</v>
      </c>
    </row>
    <row r="11" spans="1:4" x14ac:dyDescent="0.25">
      <c r="A11" t="s">
        <v>15</v>
      </c>
      <c r="D11" s="3">
        <v>1</v>
      </c>
    </row>
    <row r="12" spans="1:4" x14ac:dyDescent="0.25">
      <c r="C12" t="s">
        <v>13</v>
      </c>
      <c r="D12" s="3">
        <f>SUM(D3:D11)</f>
        <v>8.6231635545454548</v>
      </c>
    </row>
    <row r="13" spans="1:4" x14ac:dyDescent="0.25">
      <c r="C13" t="s">
        <v>14</v>
      </c>
      <c r="D13" s="3">
        <f>D12*2.2</f>
        <v>18.970959820000001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Deriabine</dc:creator>
  <cp:lastModifiedBy>Anton Deriabine</cp:lastModifiedBy>
  <dcterms:created xsi:type="dcterms:W3CDTF">2020-05-05T16:07:40Z</dcterms:created>
  <dcterms:modified xsi:type="dcterms:W3CDTF">2020-05-05T16:27:17Z</dcterms:modified>
</cp:coreProperties>
</file>