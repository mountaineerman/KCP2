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ton\Documents\Kerbal Space Program\Kerbal_Control_Panel\KCP2-physical\Documentation\"/>
    </mc:Choice>
  </mc:AlternateContent>
  <bookViews>
    <workbookView xWindow="0" yWindow="0" windowWidth="15360" windowHeight="7755" tabRatio="795" activeTab="2"/>
  </bookViews>
  <sheets>
    <sheet name="Bill of Materials" sheetId="1" r:id="rId1"/>
    <sheet name="Fasteners" sheetId="4" r:id="rId2"/>
    <sheet name="Pin Assignment" sheetId="5" r:id="rId3"/>
    <sheet name="Connectors" sheetId="10" r:id="rId4"/>
    <sheet name="Machine Shop" sheetId="6" r:id="rId5"/>
    <sheet name="3D Printing" sheetId="8" r:id="rId6"/>
  </sheets>
  <definedNames>
    <definedName name="_xlnm._FilterDatabase" localSheetId="2" hidden="1">'Pin Assignment'!$B$1:$F$356</definedName>
    <definedName name="ExchangeRate">'Bill of Materials'!$A$147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8" i="1" l="1"/>
  <c r="H109" i="1" l="1"/>
  <c r="H138" i="1"/>
  <c r="H101" i="1" l="1"/>
  <c r="H137" i="1"/>
  <c r="X29" i="10"/>
  <c r="X26" i="10"/>
  <c r="X23" i="10"/>
  <c r="X20" i="10"/>
  <c r="X17" i="10"/>
  <c r="X14" i="10"/>
  <c r="X11" i="10"/>
  <c r="X8" i="10"/>
  <c r="X5" i="10"/>
  <c r="X2" i="10"/>
  <c r="AA12" i="10"/>
  <c r="AA9" i="10"/>
  <c r="AA6" i="10"/>
  <c r="AA2" i="10"/>
  <c r="AA3" i="10"/>
  <c r="AA26" i="10"/>
  <c r="AA27" i="10" s="1"/>
  <c r="AA23" i="10"/>
  <c r="AA24" i="10" s="1"/>
  <c r="AA30" i="10"/>
  <c r="AA20" i="10"/>
  <c r="AA21" i="10" s="1"/>
  <c r="AA17" i="10"/>
  <c r="AA15" i="10"/>
  <c r="F7" i="8"/>
  <c r="AF12" i="10" l="1"/>
  <c r="AG12" i="10" s="1"/>
  <c r="AF13" i="10"/>
  <c r="AG13" i="10" s="1"/>
  <c r="X31" i="10"/>
  <c r="X32" i="10" s="1"/>
  <c r="F128" i="1"/>
  <c r="F127" i="1"/>
  <c r="F126" i="1"/>
  <c r="F125" i="1"/>
  <c r="F124" i="1"/>
  <c r="F123" i="1"/>
  <c r="F122" i="1"/>
  <c r="F121" i="1"/>
  <c r="F96" i="1"/>
  <c r="F95" i="1"/>
  <c r="F94" i="1"/>
  <c r="F72" i="1"/>
  <c r="F66" i="1"/>
  <c r="F63" i="1"/>
  <c r="F56" i="1"/>
  <c r="F44" i="1"/>
  <c r="F34" i="1"/>
  <c r="F24" i="1"/>
  <c r="F13" i="1"/>
  <c r="F12" i="1"/>
  <c r="H128" i="1"/>
  <c r="H72" i="1"/>
  <c r="H66" i="1"/>
  <c r="H63" i="1"/>
  <c r="H56" i="1"/>
  <c r="H44" i="1"/>
  <c r="H34" i="1"/>
  <c r="H24" i="1"/>
  <c r="H95" i="1"/>
  <c r="H96" i="1"/>
  <c r="H126" i="1"/>
  <c r="H127" i="1"/>
  <c r="H94" i="1"/>
  <c r="H121" i="1"/>
  <c r="H122" i="1"/>
  <c r="H123" i="1"/>
  <c r="H124" i="1"/>
  <c r="H125" i="1"/>
  <c r="H13" i="1"/>
  <c r="H12" i="1"/>
  <c r="H136" i="1"/>
  <c r="G86" i="1"/>
  <c r="H86" i="1" s="1"/>
  <c r="G97" i="1"/>
  <c r="H97" i="1" s="1"/>
  <c r="H2" i="1"/>
  <c r="H135" i="1" l="1"/>
  <c r="H84" i="1" l="1"/>
  <c r="H85" i="1"/>
  <c r="F11" i="1" l="1"/>
  <c r="H11" i="1"/>
  <c r="F145" i="1"/>
  <c r="H145" i="1" s="1"/>
  <c r="F10" i="1"/>
  <c r="H10" i="1" s="1"/>
  <c r="H144" i="1" l="1"/>
  <c r="H143" i="1" l="1"/>
  <c r="H142" i="1" l="1"/>
  <c r="F25" i="8" l="1"/>
  <c r="H141" i="1" l="1"/>
  <c r="H134" i="1" l="1"/>
  <c r="H49" i="1"/>
  <c r="F29" i="1"/>
  <c r="H29" i="1" s="1"/>
  <c r="F21" i="1"/>
  <c r="H21" i="1" s="1"/>
  <c r="F20" i="1"/>
  <c r="H20" i="1" s="1"/>
  <c r="F24" i="8"/>
  <c r="H133" i="1"/>
  <c r="H140" i="1" l="1"/>
  <c r="G26" i="8"/>
  <c r="F12" i="8"/>
  <c r="H139" i="1"/>
  <c r="F14" i="8"/>
  <c r="F23" i="8"/>
  <c r="F5" i="8"/>
  <c r="F6" i="8"/>
  <c r="F8" i="8"/>
  <c r="F9" i="8"/>
  <c r="F10" i="8"/>
  <c r="F11" i="8"/>
  <c r="F13" i="8"/>
  <c r="F16" i="8"/>
  <c r="F17" i="8"/>
  <c r="F18" i="8"/>
  <c r="F19" i="8"/>
  <c r="F20" i="8"/>
  <c r="F21" i="8"/>
  <c r="F22" i="8"/>
  <c r="F15" i="8"/>
  <c r="F2" i="8"/>
  <c r="C38" i="8"/>
  <c r="C37" i="8"/>
  <c r="C31" i="8"/>
  <c r="C30" i="8"/>
  <c r="F4" i="8" l="1"/>
  <c r="F3" i="8"/>
  <c r="C42" i="8"/>
  <c r="H79" i="1"/>
  <c r="F91" i="1"/>
  <c r="H91" i="1" s="1"/>
  <c r="H90" i="1"/>
  <c r="H92" i="1"/>
  <c r="H93" i="1"/>
  <c r="H99" i="1"/>
  <c r="H100" i="1"/>
  <c r="H102" i="1"/>
  <c r="H103" i="1"/>
  <c r="H104" i="1"/>
  <c r="H105" i="1"/>
  <c r="H106" i="1"/>
  <c r="H107" i="1"/>
  <c r="H108" i="1"/>
  <c r="H110" i="1"/>
  <c r="H111" i="1"/>
  <c r="H112" i="1"/>
  <c r="H113" i="1"/>
  <c r="H114" i="1"/>
  <c r="H115" i="1"/>
  <c r="H116" i="1"/>
  <c r="H117" i="1"/>
  <c r="H118" i="1"/>
  <c r="F119" i="1"/>
  <c r="H119" i="1" s="1"/>
  <c r="F120" i="1"/>
  <c r="H120" i="1" s="1"/>
  <c r="H129" i="1"/>
  <c r="G130" i="1"/>
  <c r="H130" i="1" s="1"/>
  <c r="F131" i="1"/>
  <c r="H131" i="1" s="1"/>
  <c r="F132" i="1"/>
  <c r="H132" i="1" s="1"/>
  <c r="F69" i="1"/>
  <c r="F59" i="1"/>
  <c r="F58" i="1"/>
  <c r="H58" i="1" s="1"/>
  <c r="H60" i="1"/>
  <c r="F47" i="1"/>
  <c r="H47" i="1" s="1"/>
  <c r="H19" i="1"/>
  <c r="H4" i="1"/>
  <c r="G28" i="4"/>
  <c r="H18" i="1"/>
  <c r="F26" i="8" l="1"/>
  <c r="F81" i="1"/>
  <c r="G24" i="4"/>
  <c r="D27" i="4"/>
  <c r="D26" i="4"/>
  <c r="D13" i="4" l="1"/>
  <c r="D8" i="4"/>
  <c r="D17" i="4"/>
  <c r="G17" i="4" s="1"/>
  <c r="D15" i="4"/>
  <c r="G15" i="4" s="1"/>
  <c r="D16" i="4"/>
  <c r="G16" i="4" s="1"/>
  <c r="L15" i="4"/>
  <c r="L13" i="4"/>
  <c r="N14" i="4"/>
  <c r="K14" i="4" s="1"/>
  <c r="D14" i="4"/>
  <c r="E18" i="4" l="1"/>
  <c r="E22" i="4"/>
  <c r="E21" i="4"/>
  <c r="E20" i="4"/>
  <c r="E19" i="4"/>
  <c r="O20" i="4"/>
  <c r="L20" i="4" s="1"/>
  <c r="G20" i="4"/>
  <c r="O19" i="4"/>
  <c r="L19" i="4" s="1"/>
  <c r="G23" i="4"/>
  <c r="G21" i="4"/>
  <c r="L18" i="4"/>
  <c r="N15" i="5" l="1"/>
  <c r="U15" i="5" s="1"/>
  <c r="U17" i="5"/>
  <c r="U16" i="5"/>
  <c r="V15" i="5" l="1"/>
  <c r="J20" i="5"/>
  <c r="J19" i="5"/>
  <c r="S7" i="5"/>
  <c r="S8" i="5"/>
  <c r="S9" i="5"/>
  <c r="S10" i="5"/>
  <c r="S11" i="5"/>
  <c r="S12" i="5"/>
  <c r="S13" i="5"/>
  <c r="S14" i="5"/>
  <c r="U14" i="5" l="1"/>
  <c r="R14" i="5"/>
  <c r="Q14" i="5"/>
  <c r="P14" i="5"/>
  <c r="O14" i="5"/>
  <c r="N14" i="5"/>
  <c r="M14" i="5"/>
  <c r="L14" i="5"/>
  <c r="K14" i="5"/>
  <c r="J14" i="5"/>
  <c r="T2" i="5"/>
  <c r="S2" i="5"/>
  <c r="R2" i="5"/>
  <c r="Q2" i="5"/>
  <c r="P2" i="5"/>
  <c r="O2" i="5"/>
  <c r="N2" i="5"/>
  <c r="M2" i="5"/>
  <c r="L2" i="5"/>
  <c r="K2" i="5"/>
  <c r="J2" i="5"/>
  <c r="S6" i="5" l="1"/>
  <c r="S5" i="5"/>
  <c r="S4" i="5"/>
  <c r="S3" i="5"/>
  <c r="R13" i="5" l="1"/>
  <c r="R12" i="5"/>
  <c r="R11" i="5"/>
  <c r="R10" i="5"/>
  <c r="R9" i="5"/>
  <c r="R8" i="5"/>
  <c r="R7" i="5"/>
  <c r="R6" i="5"/>
  <c r="R5" i="5"/>
  <c r="R4" i="5"/>
  <c r="R3" i="5"/>
  <c r="T6" i="5"/>
  <c r="T5" i="5"/>
  <c r="T4" i="5"/>
  <c r="T3" i="5"/>
  <c r="J3" i="5" l="1"/>
  <c r="K3" i="5"/>
  <c r="L3" i="5"/>
  <c r="M3" i="5"/>
  <c r="N3" i="5"/>
  <c r="O3" i="5"/>
  <c r="P3" i="5"/>
  <c r="Q3" i="5"/>
  <c r="U3" i="5"/>
  <c r="J4" i="5"/>
  <c r="K4" i="5"/>
  <c r="L4" i="5"/>
  <c r="M4" i="5"/>
  <c r="N4" i="5"/>
  <c r="O4" i="5"/>
  <c r="P4" i="5"/>
  <c r="Q4" i="5"/>
  <c r="U4" i="5"/>
  <c r="J5" i="5"/>
  <c r="K5" i="5"/>
  <c r="L5" i="5"/>
  <c r="M5" i="5"/>
  <c r="N5" i="5"/>
  <c r="O5" i="5"/>
  <c r="P5" i="5"/>
  <c r="Q5" i="5"/>
  <c r="U5" i="5"/>
  <c r="J6" i="5"/>
  <c r="K6" i="5"/>
  <c r="L6" i="5"/>
  <c r="M6" i="5"/>
  <c r="N6" i="5"/>
  <c r="O6" i="5"/>
  <c r="P6" i="5"/>
  <c r="Q6" i="5"/>
  <c r="U6" i="5"/>
  <c r="J7" i="5"/>
  <c r="K7" i="5"/>
  <c r="L7" i="5"/>
  <c r="M7" i="5"/>
  <c r="N7" i="5"/>
  <c r="O7" i="5"/>
  <c r="P7" i="5"/>
  <c r="Q7" i="5"/>
  <c r="U7" i="5"/>
  <c r="J8" i="5"/>
  <c r="K8" i="5"/>
  <c r="L8" i="5"/>
  <c r="M8" i="5"/>
  <c r="N8" i="5"/>
  <c r="O8" i="5"/>
  <c r="P8" i="5"/>
  <c r="Q8" i="5"/>
  <c r="U8" i="5"/>
  <c r="J9" i="5"/>
  <c r="K9" i="5"/>
  <c r="L9" i="5"/>
  <c r="M9" i="5"/>
  <c r="N9" i="5"/>
  <c r="O9" i="5"/>
  <c r="P9" i="5"/>
  <c r="Q9" i="5"/>
  <c r="U9" i="5"/>
  <c r="J10" i="5"/>
  <c r="K10" i="5"/>
  <c r="L10" i="5"/>
  <c r="M10" i="5"/>
  <c r="N10" i="5"/>
  <c r="O10" i="5"/>
  <c r="P10" i="5"/>
  <c r="Q10" i="5"/>
  <c r="U10" i="5"/>
  <c r="J11" i="5"/>
  <c r="K11" i="5"/>
  <c r="L11" i="5"/>
  <c r="M11" i="5"/>
  <c r="N11" i="5"/>
  <c r="O11" i="5"/>
  <c r="P11" i="5"/>
  <c r="Q11" i="5"/>
  <c r="U11" i="5"/>
  <c r="J12" i="5"/>
  <c r="K12" i="5"/>
  <c r="L12" i="5"/>
  <c r="M12" i="5"/>
  <c r="N12" i="5"/>
  <c r="O12" i="5"/>
  <c r="P12" i="5"/>
  <c r="Q12" i="5"/>
  <c r="U12" i="5"/>
  <c r="J13" i="5"/>
  <c r="K13" i="5"/>
  <c r="L13" i="5"/>
  <c r="M13" i="5"/>
  <c r="N13" i="5"/>
  <c r="O13" i="5"/>
  <c r="P13" i="5"/>
  <c r="Q13" i="5"/>
  <c r="U13" i="5"/>
  <c r="V7" i="5" l="1"/>
  <c r="V3" i="5"/>
  <c r="G22" i="4" l="1"/>
  <c r="G19" i="4"/>
  <c r="G18" i="4"/>
  <c r="G26" i="4"/>
  <c r="G14" i="4"/>
  <c r="G13" i="4"/>
  <c r="E27" i="4"/>
  <c r="G27" i="4"/>
  <c r="H3" i="1" l="1"/>
  <c r="G11" i="4" l="1"/>
  <c r="G5" i="4"/>
  <c r="G6" i="4"/>
  <c r="G7" i="4"/>
  <c r="G8" i="4"/>
  <c r="G9" i="4"/>
  <c r="G10" i="4"/>
  <c r="G4" i="4"/>
  <c r="G29" i="4" l="1"/>
  <c r="O9" i="4"/>
  <c r="L9" i="4" s="1"/>
  <c r="M8" i="4"/>
  <c r="J8" i="4" s="1"/>
  <c r="O8" i="4"/>
  <c r="L8" i="4" s="1"/>
  <c r="O6" i="4"/>
  <c r="L6" i="4" s="1"/>
  <c r="L10" i="4"/>
  <c r="J10" i="4"/>
  <c r="J9" i="4"/>
  <c r="K6" i="4"/>
  <c r="J6" i="4"/>
  <c r="L5" i="4"/>
  <c r="K5" i="4"/>
  <c r="K4" i="4"/>
  <c r="J4" i="4"/>
  <c r="O4" i="4"/>
  <c r="L4" i="4" l="1"/>
  <c r="H89" i="1"/>
  <c r="F65" i="1"/>
  <c r="H65" i="1" s="1"/>
  <c r="F64" i="1"/>
  <c r="H64" i="1" s="1"/>
  <c r="H39" i="1"/>
  <c r="F48" i="1"/>
  <c r="F46" i="1"/>
  <c r="H46" i="1" s="1"/>
  <c r="F45" i="1"/>
  <c r="H45" i="1" s="1"/>
  <c r="F43" i="1"/>
  <c r="H43" i="1" s="1"/>
  <c r="F42" i="1"/>
  <c r="H42" i="1" s="1"/>
  <c r="F41" i="1"/>
  <c r="H41" i="1" s="1"/>
  <c r="C38" i="1"/>
  <c r="C48" i="1" s="1"/>
  <c r="C59" i="1" s="1"/>
  <c r="F38" i="1"/>
  <c r="F36" i="1"/>
  <c r="H36" i="1" s="1"/>
  <c r="F35" i="1"/>
  <c r="H35" i="1" s="1"/>
  <c r="F37" i="1"/>
  <c r="H37" i="1" s="1"/>
  <c r="F33" i="1"/>
  <c r="H33" i="1" s="1"/>
  <c r="F28" i="1"/>
  <c r="H28" i="1" s="1"/>
  <c r="F27" i="1"/>
  <c r="H27" i="1" s="1"/>
  <c r="F26" i="1"/>
  <c r="H26" i="1" s="1"/>
  <c r="F25" i="1"/>
  <c r="H25" i="1" s="1"/>
  <c r="F30" i="1"/>
  <c r="C88" i="1"/>
  <c r="F88" i="1"/>
  <c r="H87" i="1"/>
  <c r="F71" i="1"/>
  <c r="H70" i="1"/>
  <c r="F61" i="1"/>
  <c r="H57" i="1"/>
  <c r="H31" i="1"/>
  <c r="F23" i="1"/>
  <c r="H22" i="1"/>
  <c r="H5" i="1"/>
  <c r="H6" i="1"/>
  <c r="H7" i="1"/>
  <c r="H8" i="1"/>
  <c r="H14" i="1"/>
  <c r="H16" i="1"/>
  <c r="H15" i="1"/>
  <c r="H9" i="1"/>
  <c r="H55" i="1"/>
  <c r="H40" i="1"/>
  <c r="H67" i="1"/>
  <c r="H76" i="1"/>
  <c r="H77" i="1"/>
  <c r="H62" i="1"/>
  <c r="H68" i="1"/>
  <c r="H53" i="1"/>
  <c r="H52" i="1"/>
  <c r="H50" i="1"/>
  <c r="H51" i="1"/>
  <c r="H54" i="1"/>
  <c r="H17" i="1"/>
  <c r="H98" i="1"/>
  <c r="H73" i="1"/>
  <c r="H74" i="1"/>
  <c r="H75" i="1"/>
  <c r="H78" i="1"/>
  <c r="H80" i="1"/>
  <c r="H81" i="1"/>
  <c r="H83" i="1"/>
  <c r="H82" i="1"/>
  <c r="H32" i="1"/>
  <c r="C69" i="1" l="1"/>
  <c r="H69" i="1" s="1"/>
  <c r="H59" i="1"/>
  <c r="H48" i="1"/>
  <c r="H38" i="1"/>
  <c r="H30" i="1"/>
  <c r="H61" i="1"/>
  <c r="H71" i="1"/>
  <c r="H88" i="1"/>
  <c r="H23" i="1"/>
  <c r="H146" i="1" l="1"/>
</calcChain>
</file>

<file path=xl/comments1.xml><?xml version="1.0" encoding="utf-8"?>
<comments xmlns="http://schemas.openxmlformats.org/spreadsheetml/2006/main">
  <authors>
    <author>Anton Deriabine</author>
  </authors>
  <commentList>
    <comment ref="E18" authorId="0" shapeId="0">
      <text>
        <r>
          <rPr>
            <b/>
            <sz val="9"/>
            <color indexed="81"/>
            <rFont val="Tahoma"/>
            <charset val="1"/>
          </rPr>
          <t>Anton Deriabine:</t>
        </r>
        <r>
          <rPr>
            <sz val="9"/>
            <color indexed="81"/>
            <rFont val="Tahoma"/>
            <charset val="1"/>
          </rPr>
          <t xml:space="preserve">
Main Case:
10 Top Plate
4 Sides
15 Back
16 Underside
9 Dodge
Gauge Tower: 20</t>
        </r>
      </text>
    </comment>
    <comment ref="E19" authorId="0" shapeId="0">
      <text>
        <r>
          <rPr>
            <b/>
            <sz val="9"/>
            <color indexed="81"/>
            <rFont val="Tahoma"/>
            <charset val="1"/>
          </rPr>
          <t>Anton Deriabine:</t>
        </r>
        <r>
          <rPr>
            <sz val="9"/>
            <color indexed="81"/>
            <rFont val="Tahoma"/>
            <charset val="1"/>
          </rPr>
          <t xml:space="preserve">
Main Case:
10 Top Plate
4 Sides
15 Back
16 Underside
9 Dodge
Gauge Tower: 20</t>
        </r>
      </text>
    </comment>
    <comment ref="E20" authorId="0" shapeId="0">
      <text>
        <r>
          <rPr>
            <b/>
            <sz val="9"/>
            <color indexed="81"/>
            <rFont val="Tahoma"/>
            <charset val="1"/>
          </rPr>
          <t>Anton Deriabine:</t>
        </r>
        <r>
          <rPr>
            <sz val="9"/>
            <color indexed="81"/>
            <rFont val="Tahoma"/>
            <charset val="1"/>
          </rPr>
          <t xml:space="preserve">
Main Case:
10 Top Plate
4 Sides
15 Back
16 Underside
9 Dodge
Gauge Tower: 20</t>
        </r>
      </text>
    </comment>
    <comment ref="E21" authorId="0" shapeId="0">
      <text>
        <r>
          <rPr>
            <b/>
            <sz val="9"/>
            <color indexed="81"/>
            <rFont val="Tahoma"/>
            <charset val="1"/>
          </rPr>
          <t>Anton Deriabine:</t>
        </r>
        <r>
          <rPr>
            <sz val="9"/>
            <color indexed="81"/>
            <rFont val="Tahoma"/>
            <charset val="1"/>
          </rPr>
          <t xml:space="preserve">
13 Top-Mounting Plate
28 Modules
6 Bottom Plate Sideholes
4 Gauge Tower adapters
5 Mounting Plate (underside)
4 Throttle Bracket</t>
        </r>
      </text>
    </comment>
    <comment ref="E22" authorId="0" shapeId="0">
      <text>
        <r>
          <rPr>
            <b/>
            <sz val="9"/>
            <color indexed="81"/>
            <rFont val="Tahoma"/>
            <charset val="1"/>
          </rPr>
          <t>Anton Deriabine:</t>
        </r>
        <r>
          <rPr>
            <sz val="9"/>
            <color indexed="81"/>
            <rFont val="Tahoma"/>
            <charset val="1"/>
          </rPr>
          <t xml:space="preserve">
4 Module H phone adapter
8 Keyboard Pillars
6 Columns</t>
        </r>
      </text>
    </comment>
    <comment ref="E23" authorId="0" shapeId="0">
      <text>
        <r>
          <rPr>
            <b/>
            <sz val="9"/>
            <color indexed="81"/>
            <rFont val="Tahoma"/>
            <charset val="1"/>
          </rPr>
          <t>Anton Deriabine:</t>
        </r>
        <r>
          <rPr>
            <sz val="9"/>
            <color indexed="81"/>
            <rFont val="Tahoma"/>
            <charset val="1"/>
          </rPr>
          <t xml:space="preserve">
4 Module H phone adapter</t>
        </r>
      </text>
    </comment>
  </commentList>
</comments>
</file>

<file path=xl/comments2.xml><?xml version="1.0" encoding="utf-8"?>
<comments xmlns="http://schemas.openxmlformats.org/spreadsheetml/2006/main">
  <authors>
    <author>Anton Deriabine</author>
  </authors>
  <commentList>
    <comment ref="F2" authorId="0" shapeId="0">
      <text>
        <r>
          <rPr>
            <b/>
            <sz val="9"/>
            <color indexed="81"/>
            <rFont val="Tahoma"/>
            <charset val="1"/>
          </rPr>
          <t>Anton Deriabine:</t>
        </r>
        <r>
          <rPr>
            <sz val="9"/>
            <color indexed="81"/>
            <rFont val="Tahoma"/>
            <charset val="1"/>
          </rPr>
          <t xml:space="preserve">
Difficult to move due to to MuxShield initialization error...</t>
        </r>
      </text>
    </comment>
    <comment ref="I2" authorId="0" shapeId="0">
      <text>
        <r>
          <rPr>
            <b/>
            <sz val="9"/>
            <color indexed="81"/>
            <rFont val="Tahoma"/>
            <family val="2"/>
          </rPr>
          <t>Anton Deriabine:</t>
        </r>
        <r>
          <rPr>
            <sz val="9"/>
            <color indexed="81"/>
            <rFont val="Tahoma"/>
            <family val="2"/>
          </rPr>
          <t xml:space="preserve">
+4 wires for each module for:
   - +12V
   - Ground (common)
   - +5V (Arduino Mega)
   - +5V (DC-DC)</t>
        </r>
      </text>
    </comment>
    <comment ref="F3" authorId="0" shapeId="0">
      <text>
        <r>
          <rPr>
            <b/>
            <sz val="9"/>
            <color indexed="81"/>
            <rFont val="Tahoma"/>
            <charset val="1"/>
          </rPr>
          <t>Anton Deriabine:</t>
        </r>
        <r>
          <rPr>
            <sz val="9"/>
            <color indexed="81"/>
            <rFont val="Tahoma"/>
            <charset val="1"/>
          </rPr>
          <t xml:space="preserve">
Difficult to move due to to MuxShield initialization error...</t>
        </r>
      </text>
    </comment>
    <comment ref="F4" authorId="0" shapeId="0">
      <text>
        <r>
          <rPr>
            <b/>
            <sz val="9"/>
            <color indexed="81"/>
            <rFont val="Tahoma"/>
            <charset val="1"/>
          </rPr>
          <t>Anton Deriabine:</t>
        </r>
        <r>
          <rPr>
            <sz val="9"/>
            <color indexed="81"/>
            <rFont val="Tahoma"/>
            <charset val="1"/>
          </rPr>
          <t xml:space="preserve">
Difficult to move due to to MuxShield initialization error...</t>
        </r>
      </text>
    </comment>
    <comment ref="F20" authorId="0" shapeId="0">
      <text>
        <r>
          <rPr>
            <b/>
            <sz val="9"/>
            <color indexed="81"/>
            <rFont val="Tahoma"/>
            <charset val="1"/>
          </rPr>
          <t>Anton Deriabine:</t>
        </r>
        <r>
          <rPr>
            <sz val="9"/>
            <color indexed="81"/>
            <rFont val="Tahoma"/>
            <charset val="1"/>
          </rPr>
          <t xml:space="preserve">
Difficult to move due to to MuxShield initialization error...</t>
        </r>
      </text>
    </comment>
    <comment ref="F22" authorId="0" shapeId="0">
      <text>
        <r>
          <rPr>
            <b/>
            <sz val="9"/>
            <color indexed="81"/>
            <rFont val="Tahoma"/>
            <charset val="1"/>
          </rPr>
          <t>Anton Deriabine:</t>
        </r>
        <r>
          <rPr>
            <sz val="9"/>
            <color indexed="81"/>
            <rFont val="Tahoma"/>
            <charset val="1"/>
          </rPr>
          <t xml:space="preserve">
Difficult to move due to to MuxShield initialization error...</t>
        </r>
      </text>
    </comment>
    <comment ref="F24" authorId="0" shapeId="0">
      <text>
        <r>
          <rPr>
            <b/>
            <sz val="9"/>
            <color indexed="81"/>
            <rFont val="Tahoma"/>
            <charset val="1"/>
          </rPr>
          <t>Anton Deriabine:</t>
        </r>
        <r>
          <rPr>
            <sz val="9"/>
            <color indexed="81"/>
            <rFont val="Tahoma"/>
            <charset val="1"/>
          </rPr>
          <t xml:space="preserve">
Difficult to move due to to MuxShield initialization error...</t>
        </r>
      </text>
    </comment>
    <comment ref="F25" authorId="0" shapeId="0">
      <text>
        <r>
          <rPr>
            <b/>
            <sz val="9"/>
            <color indexed="81"/>
            <rFont val="Tahoma"/>
            <charset val="1"/>
          </rPr>
          <t>Anton Deriabine:</t>
        </r>
        <r>
          <rPr>
            <sz val="9"/>
            <color indexed="81"/>
            <rFont val="Tahoma"/>
            <charset val="1"/>
          </rPr>
          <t xml:space="preserve">
Difficult to move due to to MuxShield initialization error...</t>
        </r>
      </text>
    </comment>
  </commentList>
</comments>
</file>

<file path=xl/sharedStrings.xml><?xml version="1.0" encoding="utf-8"?>
<sst xmlns="http://schemas.openxmlformats.org/spreadsheetml/2006/main" count="2932" uniqueCount="823">
  <si>
    <t>Part</t>
  </si>
  <si>
    <t>Tindie</t>
  </si>
  <si>
    <t>Adafruit</t>
  </si>
  <si>
    <t>Sparkfun</t>
  </si>
  <si>
    <t>Arduino Mega 2560 R3</t>
  </si>
  <si>
    <t>Potentiometer Knob</t>
  </si>
  <si>
    <t>Elmwood</t>
  </si>
  <si>
    <t>Fits 1/4" shaft</t>
  </si>
  <si>
    <t>Module</t>
  </si>
  <si>
    <t>A</t>
  </si>
  <si>
    <t>CA</t>
  </si>
  <si>
    <t>US</t>
  </si>
  <si>
    <t>CAD</t>
  </si>
  <si>
    <t>USD</t>
  </si>
  <si>
    <t>C</t>
  </si>
  <si>
    <t>Potentiometer (10 kohm)</t>
  </si>
  <si>
    <t>B</t>
  </si>
  <si>
    <t>Total (CAD)</t>
  </si>
  <si>
    <t>4-Axis Joystick</t>
  </si>
  <si>
    <t>Ebay</t>
  </si>
  <si>
    <t>All</t>
  </si>
  <si>
    <t>I</t>
  </si>
  <si>
    <t>G</t>
  </si>
  <si>
    <t>E</t>
  </si>
  <si>
    <t>D</t>
  </si>
  <si>
    <t>F</t>
  </si>
  <si>
    <t>H</t>
  </si>
  <si>
    <t>Green</t>
  </si>
  <si>
    <t>Yellow</t>
  </si>
  <si>
    <t>Blue</t>
  </si>
  <si>
    <t>Orange</t>
  </si>
  <si>
    <t>Red</t>
  </si>
  <si>
    <t>White</t>
  </si>
  <si>
    <t>RGB</t>
  </si>
  <si>
    <t>EasyDriver Stepper Driver</t>
  </si>
  <si>
    <t>INA169 DC Current Sensor</t>
  </si>
  <si>
    <t>Panel Voltmeter</t>
  </si>
  <si>
    <t>Computer-Arduino Cable (Standard USB A-B)</t>
  </si>
  <si>
    <t>Panel Mount 2.1mm Barrel Jack</t>
  </si>
  <si>
    <t>2.1mm Barrel Connector</t>
  </si>
  <si>
    <t>Panel Mount USB Type B</t>
  </si>
  <si>
    <t>Mini Heat Sink (10 pack, with thermal tape)</t>
  </si>
  <si>
    <t>DC-DC Converter (12V to 5V)</t>
  </si>
  <si>
    <t>Connectors (large single row)</t>
  </si>
  <si>
    <t>Connectors (small double row)</t>
  </si>
  <si>
    <t>Connectors (large double row)</t>
  </si>
  <si>
    <t>Ribbon Cable (10 wire, 15ft, 28AWG)</t>
  </si>
  <si>
    <t>Ribbon Cable (6 wire, 15ft, 28AWG)</t>
  </si>
  <si>
    <t>Hookup Wire (22AWG, solid core)</t>
  </si>
  <si>
    <t>Raw Male-Female Jumper Wires</t>
  </si>
  <si>
    <t>Mux Shield II</t>
  </si>
  <si>
    <t>Digikey</t>
  </si>
  <si>
    <t>Pololu</t>
  </si>
  <si>
    <t>Stranded Wire: 24 AWG, Red,Black,Green</t>
  </si>
  <si>
    <t>Female Crimp Pins (x100)</t>
  </si>
  <si>
    <t>Male Crimp Pins (x100)</t>
  </si>
  <si>
    <t>1x4 Crimp Connector Housing (x10)</t>
  </si>
  <si>
    <t>1x1 Crimp Connector Housing (x25)</t>
  </si>
  <si>
    <t>1x2 Crimp Connector Housing (x25)</t>
  </si>
  <si>
    <t>Crimping Tool</t>
  </si>
  <si>
    <t>3x8 Female Header</t>
  </si>
  <si>
    <t>Female/Male Headers</t>
  </si>
  <si>
    <t>Amazon</t>
  </si>
  <si>
    <t>Wire Strippers</t>
  </si>
  <si>
    <t>Exchange Rate (1 USD = X CAD)</t>
  </si>
  <si>
    <t>Note</t>
  </si>
  <si>
    <t>x27.168 stepper motor</t>
  </si>
  <si>
    <t xml:space="preserve"> #</t>
  </si>
  <si>
    <t>Toggle Switch</t>
  </si>
  <si>
    <t>Abort</t>
  </si>
  <si>
    <t>Brake</t>
  </si>
  <si>
    <t>Reset</t>
  </si>
  <si>
    <t>Power</t>
  </si>
  <si>
    <t>Rectangular RGB LED</t>
  </si>
  <si>
    <t>5mm LED Holder</t>
  </si>
  <si>
    <t>5mm LED (yellow)</t>
  </si>
  <si>
    <t>5mm LED (green)</t>
  </si>
  <si>
    <t>5mm LED (white)</t>
  </si>
  <si>
    <t>5mm LED (red)</t>
  </si>
  <si>
    <t>Autopilot</t>
  </si>
  <si>
    <t>5mm LED (blue)</t>
  </si>
  <si>
    <t>3POS Lights</t>
  </si>
  <si>
    <t>Autopilot Reticules (Hold, Prograde, Retrograde, Normal, Anti-Normal, Radial In, Radial Out, Target Prograde, Target Retrograde, Maneuver)</t>
  </si>
  <si>
    <t>Switch Guard (8-unit)</t>
  </si>
  <si>
    <t>Switch Guard (1-unit)</t>
  </si>
  <si>
    <t>4POS Twist Switch Handle</t>
  </si>
  <si>
    <t>4POS Twist Switch</t>
  </si>
  <si>
    <t>Toggle Switch - SP3T</t>
  </si>
  <si>
    <t>Toggle Switch - Momentary</t>
  </si>
  <si>
    <t>Switch Tip (M)</t>
  </si>
  <si>
    <t>Switch Tip (S)</t>
  </si>
  <si>
    <t>Switch Tip (L)</t>
  </si>
  <si>
    <t>Glass Cockpit Button</t>
  </si>
  <si>
    <t>VID6606 stepper driver board</t>
  </si>
  <si>
    <t>Heading Gauge Adapter</t>
  </si>
  <si>
    <t>Heading Motor (360° rotation)</t>
  </si>
  <si>
    <t>NEMA17 Motor</t>
  </si>
  <si>
    <t>3 Digit 7-SEG Display</t>
  </si>
  <si>
    <t>Toggle Switch - Mini</t>
  </si>
  <si>
    <t>MNPR/INTK</t>
  </si>
  <si>
    <t>FUEL rate-of-change</t>
  </si>
  <si>
    <t>5mm RGB LED</t>
  </si>
  <si>
    <t>Ship</t>
  </si>
  <si>
    <t>Description</t>
  </si>
  <si>
    <t>Thread</t>
  </si>
  <si>
    <t>#3-48</t>
  </si>
  <si>
    <t>Min #</t>
  </si>
  <si>
    <t>Inches</t>
  </si>
  <si>
    <t>mm</t>
  </si>
  <si>
    <t>-</t>
  </si>
  <si>
    <t>Stepper motor mounting screw</t>
  </si>
  <si>
    <t>Stepper gauge assembly screw</t>
  </si>
  <si>
    <t>Stepper gauge assembly nut</t>
  </si>
  <si>
    <t>#0-80</t>
  </si>
  <si>
    <t>NEMA17 motor mounting screw</t>
  </si>
  <si>
    <t>M3x0.5</t>
  </si>
  <si>
    <t>Standoff</t>
  </si>
  <si>
    <t>Standoff top screw</t>
  </si>
  <si>
    <t>Standoff under screw</t>
  </si>
  <si>
    <t>#4-40</t>
  </si>
  <si>
    <t>Price/100</t>
  </si>
  <si>
    <t>Quantity</t>
  </si>
  <si>
    <t>Cost</t>
  </si>
  <si>
    <t>Shipping + Tax</t>
  </si>
  <si>
    <t>Handle Screw</t>
  </si>
  <si>
    <t>Large Gear (32T, 1/4" bore)</t>
  </si>
  <si>
    <t>Small Gear (16T, 1/4" bore)</t>
  </si>
  <si>
    <t>A2</t>
  </si>
  <si>
    <t>#8-32</t>
  </si>
  <si>
    <t>611 Right Angle Bracket</t>
  </si>
  <si>
    <t>B2</t>
  </si>
  <si>
    <t>C2</t>
  </si>
  <si>
    <t>Cable tie mount screw</t>
  </si>
  <si>
    <t>Zip tie mount</t>
  </si>
  <si>
    <t>n/a</t>
  </si>
  <si>
    <t>POWER Indicator</t>
  </si>
  <si>
    <t>3M15</t>
  </si>
  <si>
    <t>Mux</t>
  </si>
  <si>
    <t>3M14</t>
  </si>
  <si>
    <t>3M13</t>
  </si>
  <si>
    <t>3M12</t>
  </si>
  <si>
    <t>3M11</t>
  </si>
  <si>
    <t>Chute Button (AG10)</t>
  </si>
  <si>
    <t>Digital Input Pullup</t>
  </si>
  <si>
    <t>3M10</t>
  </si>
  <si>
    <t>Fairing Button (AG9)</t>
  </si>
  <si>
    <t>3M9</t>
  </si>
  <si>
    <t>AutoNavigation Switch (AG8)</t>
  </si>
  <si>
    <t>Digital Input</t>
  </si>
  <si>
    <t>3M8</t>
  </si>
  <si>
    <t>Ladder Switch (AG7)</t>
  </si>
  <si>
    <t>3M7</t>
  </si>
  <si>
    <t>Solar Switch (AG6)</t>
  </si>
  <si>
    <t>3M6</t>
  </si>
  <si>
    <t>Reset Switch (AG5)</t>
  </si>
  <si>
    <t>3M5</t>
  </si>
  <si>
    <t>Science Switch (AG4)</t>
  </si>
  <si>
    <t>3M4</t>
  </si>
  <si>
    <t>Action Group 3 Switch</t>
  </si>
  <si>
    <t>3M3</t>
  </si>
  <si>
    <t>Action Group 2 Switch</t>
  </si>
  <si>
    <t>3M2</t>
  </si>
  <si>
    <t>Action Group 1 Switch</t>
  </si>
  <si>
    <t>3M1</t>
  </si>
  <si>
    <t>Trim Switch</t>
  </si>
  <si>
    <t>3M0</t>
  </si>
  <si>
    <r>
      <t>90/30/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deg Switch</t>
    </r>
  </si>
  <si>
    <t>2M15</t>
  </si>
  <si>
    <r>
      <rPr>
        <b/>
        <sz val="11"/>
        <color theme="1"/>
        <rFont val="Calibri"/>
        <family val="2"/>
        <scheme val="minor"/>
      </rPr>
      <t>90</t>
    </r>
    <r>
      <rPr>
        <sz val="11"/>
        <color theme="1"/>
        <rFont val="Calibri"/>
        <family val="2"/>
        <scheme val="minor"/>
      </rPr>
      <t>/30/9 deg Switch</t>
    </r>
  </si>
  <si>
    <t>2M14</t>
  </si>
  <si>
    <r>
      <t>RKT/PLN/</t>
    </r>
    <r>
      <rPr>
        <b/>
        <sz val="11"/>
        <color theme="1"/>
        <rFont val="Calibri"/>
        <family val="2"/>
        <scheme val="minor"/>
      </rPr>
      <t>RVR</t>
    </r>
    <r>
      <rPr>
        <sz val="11"/>
        <color theme="1"/>
        <rFont val="Calibri"/>
        <family val="2"/>
        <scheme val="minor"/>
      </rPr>
      <t xml:space="preserve"> Switch</t>
    </r>
  </si>
  <si>
    <t>2M13</t>
  </si>
  <si>
    <r>
      <rPr>
        <b/>
        <sz val="11"/>
        <color theme="1"/>
        <rFont val="Calibri"/>
        <family val="2"/>
        <scheme val="minor"/>
      </rPr>
      <t>RKT</t>
    </r>
    <r>
      <rPr>
        <sz val="11"/>
        <color theme="1"/>
        <rFont val="Calibri"/>
        <family val="2"/>
        <scheme val="minor"/>
      </rPr>
      <t>/PLN/RVR Switch</t>
    </r>
  </si>
  <si>
    <t>2M12</t>
  </si>
  <si>
    <t>Autopilot Maneuver Button</t>
  </si>
  <si>
    <t>2M11</t>
  </si>
  <si>
    <t>Autopilot Anti-Target Button</t>
  </si>
  <si>
    <t>2M10</t>
  </si>
  <si>
    <t>Autopilot Target Button</t>
  </si>
  <si>
    <t>2M9</t>
  </si>
  <si>
    <t>Autopilot Radial Out Button</t>
  </si>
  <si>
    <t>2M8</t>
  </si>
  <si>
    <t>Autopilot Radial In Button</t>
  </si>
  <si>
    <t>2M7</t>
  </si>
  <si>
    <t>Autopilot Anti-Normal Button</t>
  </si>
  <si>
    <t>2M6</t>
  </si>
  <si>
    <t>Autopilot Normal Button</t>
  </si>
  <si>
    <t>2M5</t>
  </si>
  <si>
    <t>Autopilot Retrograde Button</t>
  </si>
  <si>
    <t>2M4</t>
  </si>
  <si>
    <t>Autopilot Prograge Button</t>
  </si>
  <si>
    <t>2M3</t>
  </si>
  <si>
    <t>Autopilot Hold Button</t>
  </si>
  <si>
    <t>2M2</t>
  </si>
  <si>
    <r>
      <t>SFC/ORB/</t>
    </r>
    <r>
      <rPr>
        <b/>
        <sz val="11"/>
        <color theme="1"/>
        <rFont val="Calibri"/>
        <family val="2"/>
        <scheme val="minor"/>
      </rPr>
      <t>TGT</t>
    </r>
    <r>
      <rPr>
        <sz val="11"/>
        <color theme="1"/>
        <rFont val="Calibri"/>
        <family val="2"/>
        <scheme val="minor"/>
      </rPr>
      <t xml:space="preserve"> Switch</t>
    </r>
  </si>
  <si>
    <t>2M1</t>
  </si>
  <si>
    <r>
      <rPr>
        <b/>
        <sz val="11"/>
        <color theme="1"/>
        <rFont val="Calibri"/>
        <family val="2"/>
        <scheme val="minor"/>
      </rPr>
      <t>SFC</t>
    </r>
    <r>
      <rPr>
        <sz val="11"/>
        <color theme="1"/>
        <rFont val="Calibri"/>
        <family val="2"/>
        <scheme val="minor"/>
      </rPr>
      <t>/ORB/TGT Switch</t>
    </r>
  </si>
  <si>
    <t>2M0</t>
  </si>
  <si>
    <t>4-POS Switch - C</t>
  </si>
  <si>
    <t>1M15</t>
  </si>
  <si>
    <t>4-POS Switch - A</t>
  </si>
  <si>
    <t>1M14</t>
  </si>
  <si>
    <t>Mute Switch</t>
  </si>
  <si>
    <t>1M13</t>
  </si>
  <si>
    <t>Map Switch</t>
  </si>
  <si>
    <t>1M12</t>
  </si>
  <si>
    <t>Brake Switch</t>
  </si>
  <si>
    <t>1M11</t>
  </si>
  <si>
    <t>Gear Switch</t>
  </si>
  <si>
    <t>1M10</t>
  </si>
  <si>
    <t>Lights Switch</t>
  </si>
  <si>
    <t>1M9</t>
  </si>
  <si>
    <t>RCS Switch</t>
  </si>
  <si>
    <t>1M8</t>
  </si>
  <si>
    <t>SAS Switch</t>
  </si>
  <si>
    <t>1M7</t>
  </si>
  <si>
    <t>1M6</t>
  </si>
  <si>
    <t>1M5</t>
  </si>
  <si>
    <t>1M4</t>
  </si>
  <si>
    <t>Joystick Pushbutton</t>
  </si>
  <si>
    <t>1M3</t>
  </si>
  <si>
    <t>Abort Pushbutton</t>
  </si>
  <si>
    <t>1M2</t>
  </si>
  <si>
    <t>Brake Pushbutton</t>
  </si>
  <si>
    <t>1M1</t>
  </si>
  <si>
    <t>Staging Pushbutton</t>
  </si>
  <si>
    <t>1M0</t>
  </si>
  <si>
    <t>2L23</t>
  </si>
  <si>
    <t>LED2</t>
  </si>
  <si>
    <t>2L22</t>
  </si>
  <si>
    <t>2L21</t>
  </si>
  <si>
    <t>2L20</t>
  </si>
  <si>
    <t>2L19</t>
  </si>
  <si>
    <t>2L18</t>
  </si>
  <si>
    <t>2L17</t>
  </si>
  <si>
    <t>2L16</t>
  </si>
  <si>
    <t>2L15</t>
  </si>
  <si>
    <t>2L14</t>
  </si>
  <si>
    <t>2L13</t>
  </si>
  <si>
    <t>2L12</t>
  </si>
  <si>
    <t>2L11</t>
  </si>
  <si>
    <t>2L10</t>
  </si>
  <si>
    <t>2L9</t>
  </si>
  <si>
    <t>2L8</t>
  </si>
  <si>
    <t>2L7</t>
  </si>
  <si>
    <t>2L6</t>
  </si>
  <si>
    <t>2L5</t>
  </si>
  <si>
    <t>2L4</t>
  </si>
  <si>
    <t>2L3</t>
  </si>
  <si>
    <t>2L2</t>
  </si>
  <si>
    <t>2L1</t>
  </si>
  <si>
    <t>2L0</t>
  </si>
  <si>
    <t>1L23</t>
  </si>
  <si>
    <t>LED1</t>
  </si>
  <si>
    <t>1L22</t>
  </si>
  <si>
    <t>1L21</t>
  </si>
  <si>
    <t>1L20</t>
  </si>
  <si>
    <t>1L19</t>
  </si>
  <si>
    <t>Digital Output</t>
  </si>
  <si>
    <t>1L18</t>
  </si>
  <si>
    <t>1L17</t>
  </si>
  <si>
    <t>1L16</t>
  </si>
  <si>
    <t>1L15</t>
  </si>
  <si>
    <t>30 deg LED</t>
  </si>
  <si>
    <t>1L14</t>
  </si>
  <si>
    <t>PLN LED</t>
  </si>
  <si>
    <t>1L13</t>
  </si>
  <si>
    <t>ORB LED</t>
  </si>
  <si>
    <t>1L12</t>
  </si>
  <si>
    <t>PWM Output</t>
  </si>
  <si>
    <t>1L11</t>
  </si>
  <si>
    <t>1L10</t>
  </si>
  <si>
    <t>1L9</t>
  </si>
  <si>
    <t>1L8</t>
  </si>
  <si>
    <t>1L7</t>
  </si>
  <si>
    <t>1L6</t>
  </si>
  <si>
    <t>1L5</t>
  </si>
  <si>
    <t>1L4</t>
  </si>
  <si>
    <t>1L3</t>
  </si>
  <si>
    <t>1L2</t>
  </si>
  <si>
    <t>Brake LED</t>
  </si>
  <si>
    <t>1L1</t>
  </si>
  <si>
    <t>1L0</t>
  </si>
  <si>
    <t>Reset Switch</t>
  </si>
  <si>
    <t>RESET</t>
  </si>
  <si>
    <t>Mega</t>
  </si>
  <si>
    <t>A15</t>
  </si>
  <si>
    <t>A14</t>
  </si>
  <si>
    <t>A13</t>
  </si>
  <si>
    <t>A12</t>
  </si>
  <si>
    <t>A11</t>
  </si>
  <si>
    <t>A10</t>
  </si>
  <si>
    <t>A9</t>
  </si>
  <si>
    <t>A8</t>
  </si>
  <si>
    <t>A7</t>
  </si>
  <si>
    <t>A6</t>
  </si>
  <si>
    <t>A5</t>
  </si>
  <si>
    <t>A4</t>
  </si>
  <si>
    <t>A3</t>
  </si>
  <si>
    <t>A1</t>
  </si>
  <si>
    <t>Arduino Output Pins: 40 mA maximum (20 mA recommended)</t>
  </si>
  <si>
    <t>A0</t>
  </si>
  <si>
    <t>Assigned Pins:</t>
  </si>
  <si>
    <t>Total Pins:</t>
  </si>
  <si>
    <t>Multi-Purpose Potentiometer</t>
  </si>
  <si>
    <t>Analog Input</t>
  </si>
  <si>
    <t>Throttle</t>
  </si>
  <si>
    <t>Total</t>
  </si>
  <si>
    <t>INA169 Current Sensor output</t>
  </si>
  <si>
    <t>Component</t>
  </si>
  <si>
    <t>LED</t>
  </si>
  <si>
    <t>Pin Mode</t>
  </si>
  <si>
    <t>Pin</t>
  </si>
  <si>
    <t>Board</t>
  </si>
  <si>
    <t>+12V</t>
  </si>
  <si>
    <t>U</t>
  </si>
  <si>
    <t>RGB LED - HEAT - Red</t>
  </si>
  <si>
    <t>RGB LED - HEAT - Green</t>
  </si>
  <si>
    <t>RGB LED - HEAT - Blue</t>
  </si>
  <si>
    <t>RGB LED - G-FORCE - Red</t>
  </si>
  <si>
    <t>RGB LED - G-FORCE - Green</t>
  </si>
  <si>
    <t>RGB LED - G-FORCE - Blue</t>
  </si>
  <si>
    <t>vid6606-1</t>
  </si>
  <si>
    <t>vid6606-2</t>
  </si>
  <si>
    <t>vid6606-3</t>
  </si>
  <si>
    <t>B1</t>
  </si>
  <si>
    <t>B3</t>
  </si>
  <si>
    <t>B4</t>
  </si>
  <si>
    <t>C1</t>
  </si>
  <si>
    <t>C3</t>
  </si>
  <si>
    <t>C4</t>
  </si>
  <si>
    <t>D1</t>
  </si>
  <si>
    <t>D2</t>
  </si>
  <si>
    <t>D3</t>
  </si>
  <si>
    <t>D4</t>
  </si>
  <si>
    <t>GT</t>
  </si>
  <si>
    <t>vid6606-1 - FrequencyB - G-Force</t>
  </si>
  <si>
    <t>vid6606-1 - FrequencyD - Pitch</t>
  </si>
  <si>
    <t>vid6606-1 - FrequencyC - Mach</t>
  </si>
  <si>
    <t>vid6606-1 - DirectionB - G-Force</t>
  </si>
  <si>
    <t>vid6606-1 - DirectionC - Mach</t>
  </si>
  <si>
    <t>vid6606-1 - DirectionD - Pitch</t>
  </si>
  <si>
    <t>vid6606-2 - FrequencyA - Fuel</t>
  </si>
  <si>
    <t>vid6606-2 - DirectionA - Fuel</t>
  </si>
  <si>
    <t>vid6606-2 - FrequencyB - Charge</t>
  </si>
  <si>
    <t>vid6606-2 - DirectionB - Charge</t>
  </si>
  <si>
    <t>vid6606-2 - FrequencyC - Monopropellant/Intake</t>
  </si>
  <si>
    <t>vid6606-2 - DirectionC - Monopropellant/Intake</t>
  </si>
  <si>
    <t>vid6606-3 - FrequencyA - Density</t>
  </si>
  <si>
    <t>vid6606-3 - DirectionA - Density</t>
  </si>
  <si>
    <t>vid6606-3 - FrequencyB - Speed</t>
  </si>
  <si>
    <t>vid6606-3 - DirectionB - Speed</t>
  </si>
  <si>
    <t>vid6606-3 - FrequencyC - Vertical Speed</t>
  </si>
  <si>
    <t>vid6606-3 - DirectionC - Vertical Speed</t>
  </si>
  <si>
    <t>vid6606-3 - FrequencyD - Radar Altitude</t>
  </si>
  <si>
    <t>vid6606-3 - DirectionD - Radar Altitude</t>
  </si>
  <si>
    <t>Heat Stepper 1</t>
  </si>
  <si>
    <t>Heat Stepper 2</t>
  </si>
  <si>
    <t>Heat Stepper 3</t>
  </si>
  <si>
    <t>Heat Stepper 4</t>
  </si>
  <si>
    <t>G-Force Stepper 1</t>
  </si>
  <si>
    <t>G-Force Stepper 2</t>
  </si>
  <si>
    <t>G-Force Stepper 3</t>
  </si>
  <si>
    <t>G-Force Stepper 4</t>
  </si>
  <si>
    <t>RGB LED - MACH - Red</t>
  </si>
  <si>
    <t>RGB LED - MACH - Green</t>
  </si>
  <si>
    <t>RGB LED - MACH - Blue</t>
  </si>
  <si>
    <t>RGB LED - PITCH - Red</t>
  </si>
  <si>
    <t>RGB LED - PITCH - Green</t>
  </si>
  <si>
    <t>RGB LED - PITCH - Blue</t>
  </si>
  <si>
    <t>Mach Stepper 1</t>
  </si>
  <si>
    <t>Mach Stepper 2</t>
  </si>
  <si>
    <t>Mach Stepper 3</t>
  </si>
  <si>
    <t>Mach Stepper 4</t>
  </si>
  <si>
    <t>Pitch Stepper 1</t>
  </si>
  <si>
    <t>Pitch Stepper 2</t>
  </si>
  <si>
    <t>Pitch Stepper 3</t>
  </si>
  <si>
    <t>Pitch Stepper 4</t>
  </si>
  <si>
    <t>Fuel Stepper 1</t>
  </si>
  <si>
    <t>Fuel Stepper 2</t>
  </si>
  <si>
    <t>Fuel Stepper 3</t>
  </si>
  <si>
    <t>Fuel Stepper 4</t>
  </si>
  <si>
    <t>Charge Stepper 1</t>
  </si>
  <si>
    <t>Charge Stepper 2</t>
  </si>
  <si>
    <t>Charge Stepper 3</t>
  </si>
  <si>
    <t>Charge Stepper 4</t>
  </si>
  <si>
    <t>Monopropellant/Intake Stepper 1</t>
  </si>
  <si>
    <t>Monopropellant/Intake Stepper 2</t>
  </si>
  <si>
    <t>Monopropellant/Intake Stepper 3</t>
  </si>
  <si>
    <t>Monopropellant/Intake Stepper 4</t>
  </si>
  <si>
    <t>Density Stepper 1</t>
  </si>
  <si>
    <t>Density Stepper 2</t>
  </si>
  <si>
    <t>Density Stepper 3</t>
  </si>
  <si>
    <t>Density Stepper 4</t>
  </si>
  <si>
    <t>Speed Stepper 1</t>
  </si>
  <si>
    <t>Speed Stepper 2</t>
  </si>
  <si>
    <t>Speed Stepper 3</t>
  </si>
  <si>
    <t>Speed Stepper 4</t>
  </si>
  <si>
    <t>Vertical Speed Stepper 1</t>
  </si>
  <si>
    <t>Vertical Speed Stepper 2</t>
  </si>
  <si>
    <t>Vertical Speed Stepper 3</t>
  </si>
  <si>
    <t>Vertical Speed Stepper 4</t>
  </si>
  <si>
    <t>Radar Altitude Stepper 1</t>
  </si>
  <si>
    <t>Radar Altitude Stepper 2</t>
  </si>
  <si>
    <t>Radar Altitude Stepper 3</t>
  </si>
  <si>
    <t>Radar Altitude Stepper 4</t>
  </si>
  <si>
    <t>RGB LED - HEADING - Red</t>
  </si>
  <si>
    <t>RGB LED - HEADING - Green</t>
  </si>
  <si>
    <t>RGB LED - HEADING - Blue</t>
  </si>
  <si>
    <t>EasyDriver - SLP</t>
  </si>
  <si>
    <t>EasyDriver - MS1</t>
  </si>
  <si>
    <t>EasyDriver - MS2</t>
  </si>
  <si>
    <t>EasyDriver - STEP</t>
  </si>
  <si>
    <t>EasyDriver - DIR</t>
  </si>
  <si>
    <t>RGB LED - FUEL - Red</t>
  </si>
  <si>
    <t>RGB LED - FUEL - Green</t>
  </si>
  <si>
    <t>RGB LED - FUEL - Blue</t>
  </si>
  <si>
    <t>RGB LED - CHARGE - Red</t>
  </si>
  <si>
    <t>RGB LED - CHARGE - Green</t>
  </si>
  <si>
    <t>RGB LED - CHARGE - Blue</t>
  </si>
  <si>
    <t>RGB LED - Delta CHARGE - Red</t>
  </si>
  <si>
    <t>RGB LED - Delta CHARGE - Green</t>
  </si>
  <si>
    <t>RGB LED - Delta CHARGE - Blue</t>
  </si>
  <si>
    <t>RGB LED - INTAKE - Red</t>
  </si>
  <si>
    <t>RGB LED - MONOPROPELLANT - Red</t>
  </si>
  <si>
    <t>RGB LED - MONOPROPELLANT - Green</t>
  </si>
  <si>
    <t>RGB LED - MONOPROPELLANT - Blue</t>
  </si>
  <si>
    <t>RGB LED - INTAKE - Green</t>
  </si>
  <si>
    <t>RGB LED - INTAKE - Blue</t>
  </si>
  <si>
    <t>EasyDriver</t>
  </si>
  <si>
    <t>NEMA17 Motor (Red Wire)</t>
  </si>
  <si>
    <t>NEMA17 Motor (Green Wire)</t>
  </si>
  <si>
    <t>NEMA17 Motor (Yellow Wire)</t>
  </si>
  <si>
    <t>NEMA17 Motor (Blue Wire)</t>
  </si>
  <si>
    <t>Glass Cockpit LED - TL</t>
  </si>
  <si>
    <t>Glass Cockpit LED - CL</t>
  </si>
  <si>
    <t>Glass Cockpit LED - BL</t>
  </si>
  <si>
    <t>Glass Cockpit LED - TR</t>
  </si>
  <si>
    <t>Glass Cockpit LED - CR</t>
  </si>
  <si>
    <t>Glass Cockpit LED - BR</t>
  </si>
  <si>
    <t>LED3</t>
  </si>
  <si>
    <t>3L0</t>
  </si>
  <si>
    <t>3L1</t>
  </si>
  <si>
    <t>3L3</t>
  </si>
  <si>
    <t>3L4</t>
  </si>
  <si>
    <t>3L5</t>
  </si>
  <si>
    <t>3L6</t>
  </si>
  <si>
    <t>3L7</t>
  </si>
  <si>
    <t>3L8</t>
  </si>
  <si>
    <t>3L9</t>
  </si>
  <si>
    <t>3L10</t>
  </si>
  <si>
    <t>3L11</t>
  </si>
  <si>
    <t>3L13</t>
  </si>
  <si>
    <t>3L14</t>
  </si>
  <si>
    <t>3L15</t>
  </si>
  <si>
    <t>3L16</t>
  </si>
  <si>
    <t>3L17</t>
  </si>
  <si>
    <t>3L18</t>
  </si>
  <si>
    <t>3L19</t>
  </si>
  <si>
    <t>3L2</t>
  </si>
  <si>
    <t>3L12</t>
  </si>
  <si>
    <t>3L20</t>
  </si>
  <si>
    <t>3L21</t>
  </si>
  <si>
    <t>3L22</t>
  </si>
  <si>
    <t>3L23</t>
  </si>
  <si>
    <t>*** Mux - I/O 1</t>
  </si>
  <si>
    <t>*** Mux - I/O 2</t>
  </si>
  <si>
    <t>*** Mux - I/O 3</t>
  </si>
  <si>
    <r>
      <rPr>
        <b/>
        <sz val="11"/>
        <color theme="1"/>
        <rFont val="Calibri"/>
        <family val="2"/>
        <scheme val="minor"/>
      </rPr>
      <t>[PWM]</t>
    </r>
    <r>
      <rPr>
        <sz val="11"/>
        <color theme="1"/>
        <rFont val="Calibri"/>
        <family val="2"/>
        <scheme val="minor"/>
      </rPr>
      <t xml:space="preserve"> *** Mux - S0</t>
    </r>
  </si>
  <si>
    <r>
      <rPr>
        <b/>
        <sz val="11"/>
        <color theme="1"/>
        <rFont val="Calibri"/>
        <family val="2"/>
        <scheme val="minor"/>
      </rPr>
      <t>[PWM]</t>
    </r>
    <r>
      <rPr>
        <sz val="11"/>
        <color theme="1"/>
        <rFont val="Calibri"/>
        <family val="2"/>
        <scheme val="minor"/>
      </rPr>
      <t xml:space="preserve"> *** Mux - S1</t>
    </r>
  </si>
  <si>
    <r>
      <rPr>
        <b/>
        <sz val="11"/>
        <color theme="1"/>
        <rFont val="Calibri"/>
        <family val="2"/>
        <scheme val="minor"/>
      </rPr>
      <t>[PWM]</t>
    </r>
    <r>
      <rPr>
        <sz val="11"/>
        <color theme="1"/>
        <rFont val="Calibri"/>
        <family val="2"/>
        <scheme val="minor"/>
      </rPr>
      <t xml:space="preserve"> *** Mux - S2</t>
    </r>
  </si>
  <si>
    <r>
      <rPr>
        <b/>
        <sz val="11"/>
        <color theme="1"/>
        <rFont val="Calibri"/>
        <family val="2"/>
        <scheme val="minor"/>
      </rPr>
      <t>[PWM]</t>
    </r>
    <r>
      <rPr>
        <sz val="11"/>
        <color theme="1"/>
        <rFont val="Calibri"/>
        <family val="2"/>
        <scheme val="minor"/>
      </rPr>
      <t xml:space="preserve"> *** Mux - S3</t>
    </r>
  </si>
  <si>
    <r>
      <rPr>
        <b/>
        <sz val="11"/>
        <color theme="1"/>
        <rFont val="Calibri"/>
        <family val="2"/>
        <scheme val="minor"/>
      </rPr>
      <t>[PWM]</t>
    </r>
    <r>
      <rPr>
        <sz val="11"/>
        <color theme="1"/>
        <rFont val="Calibri"/>
        <family val="2"/>
        <scheme val="minor"/>
      </rPr>
      <t xml:space="preserve"> Monopropellant/Intake Switch</t>
    </r>
  </si>
  <si>
    <t>+5V</t>
  </si>
  <si>
    <t>Mux +5V</t>
  </si>
  <si>
    <t>GND</t>
  </si>
  <si>
    <t>Mux GND</t>
  </si>
  <si>
    <t>4L0</t>
  </si>
  <si>
    <t>4L1</t>
  </si>
  <si>
    <t>4L2</t>
  </si>
  <si>
    <t>4L3</t>
  </si>
  <si>
    <t>4L4</t>
  </si>
  <si>
    <t>4L5</t>
  </si>
  <si>
    <t>4L6</t>
  </si>
  <si>
    <t>4L7</t>
  </si>
  <si>
    <t>4L8</t>
  </si>
  <si>
    <t>4L9</t>
  </si>
  <si>
    <t>4L10</t>
  </si>
  <si>
    <t>4L11</t>
  </si>
  <si>
    <t>4L12</t>
  </si>
  <si>
    <t>4L13</t>
  </si>
  <si>
    <t>4L14</t>
  </si>
  <si>
    <t>4L15</t>
  </si>
  <si>
    <t>4L16</t>
  </si>
  <si>
    <t>4L17</t>
  </si>
  <si>
    <t>4L18</t>
  </si>
  <si>
    <t>4L19</t>
  </si>
  <si>
    <t>4L20</t>
  </si>
  <si>
    <t>4L21</t>
  </si>
  <si>
    <t>4L22</t>
  </si>
  <si>
    <t>4L23</t>
  </si>
  <si>
    <t>LED4</t>
  </si>
  <si>
    <t>Computer Communications LED</t>
  </si>
  <si>
    <t>4-POS Twist Switch LED - 100%</t>
  </si>
  <si>
    <t>4-POS Twist Switch LED - 75%</t>
  </si>
  <si>
    <t>4-POS Twist Switch LED - 50%</t>
  </si>
  <si>
    <t>4-POS Twist Switch LED - 25%</t>
  </si>
  <si>
    <t>GTi</t>
  </si>
  <si>
    <r>
      <rPr>
        <b/>
        <sz val="11"/>
        <color theme="1"/>
        <rFont val="Calibri"/>
        <family val="2"/>
        <scheme val="minor"/>
      </rPr>
      <t>[PWM]</t>
    </r>
    <r>
      <rPr>
        <sz val="11"/>
        <color theme="1"/>
        <rFont val="Calibri"/>
        <family val="2"/>
        <scheme val="minor"/>
      </rPr>
      <t xml:space="preserve"> LED Driver Boards 1,2,3,4 - LAT</t>
    </r>
  </si>
  <si>
    <r>
      <rPr>
        <b/>
        <sz val="11"/>
        <color theme="1"/>
        <rFont val="Calibri"/>
        <family val="2"/>
        <scheme val="minor"/>
      </rPr>
      <t>[PWM]</t>
    </r>
    <r>
      <rPr>
        <sz val="11"/>
        <color theme="1"/>
        <rFont val="Calibri"/>
        <family val="2"/>
        <scheme val="minor"/>
      </rPr>
      <t xml:space="preserve"> LED Driver Boards 1,2,3,4 - CLK</t>
    </r>
  </si>
  <si>
    <r>
      <rPr>
        <b/>
        <sz val="11"/>
        <color theme="1"/>
        <rFont val="Calibri"/>
        <family val="2"/>
        <scheme val="minor"/>
      </rPr>
      <t>[PWM]</t>
    </r>
    <r>
      <rPr>
        <sz val="11"/>
        <color theme="1"/>
        <rFont val="Calibri"/>
        <family val="2"/>
        <scheme val="minor"/>
      </rPr>
      <t xml:space="preserve"> LED Driver Boards 1,2,3,4 - DIN</t>
    </r>
  </si>
  <si>
    <r>
      <rPr>
        <b/>
        <sz val="11"/>
        <color theme="1"/>
        <rFont val="Calibri"/>
        <family val="2"/>
        <scheme val="minor"/>
      </rPr>
      <t>[PWM]</t>
    </r>
    <r>
      <rPr>
        <sz val="11"/>
        <color theme="1"/>
        <rFont val="Calibri"/>
        <family val="2"/>
        <scheme val="minor"/>
      </rPr>
      <t xml:space="preserve"> LED Driver Boards 1,2,3,4 - /OE</t>
    </r>
  </si>
  <si>
    <t>Autopilot Hold LED                                                WHITE</t>
  </si>
  <si>
    <t>Autopilot Maneuver LED                                         BLUE</t>
  </si>
  <si>
    <t>Fairing LED</t>
  </si>
  <si>
    <t>Chute LED</t>
  </si>
  <si>
    <t>Grounded</t>
  </si>
  <si>
    <t>RGB LED - DENSITY - Red</t>
  </si>
  <si>
    <t>RGB LED - DENSITY - Green</t>
  </si>
  <si>
    <t>RGB LED - DENSITY - Blue</t>
  </si>
  <si>
    <t>RGB LED - SPEED - Red</t>
  </si>
  <si>
    <t>RGB LED - SPEED - Green</t>
  </si>
  <si>
    <t>RGB LED - SPEED - Blue</t>
  </si>
  <si>
    <t>RGB LED - VERTICAL SPEED - Red</t>
  </si>
  <si>
    <t>RGB LED - VERTICAL SPEED - Green</t>
  </si>
  <si>
    <t>RGB LED - VERTICAL SPEED - Blue</t>
  </si>
  <si>
    <t>RGB LED - RADAR ALTITUDE - Red</t>
  </si>
  <si>
    <t>RGB LED - RADAR ALTITUDE - Green</t>
  </si>
  <si>
    <t>RGB LED - RADAR ALTITUDE - Blue</t>
  </si>
  <si>
    <t>RRGB</t>
  </si>
  <si>
    <r>
      <t xml:space="preserve">[PWM] </t>
    </r>
    <r>
      <rPr>
        <sz val="11"/>
        <color theme="1"/>
        <rFont val="Calibri"/>
        <family val="2"/>
        <scheme val="minor"/>
      </rPr>
      <t>Glass Cockpit Switch - CL</t>
    </r>
  </si>
  <si>
    <r>
      <t xml:space="preserve">[TX1] </t>
    </r>
    <r>
      <rPr>
        <sz val="11"/>
        <color theme="1"/>
        <rFont val="Calibri"/>
        <family val="2"/>
        <scheme val="minor"/>
      </rPr>
      <t>Arduino Nano - RX0</t>
    </r>
  </si>
  <si>
    <r>
      <t xml:space="preserve">[RX1] </t>
    </r>
    <r>
      <rPr>
        <sz val="11"/>
        <color theme="1"/>
        <rFont val="Calibri"/>
        <family val="2"/>
        <scheme val="minor"/>
      </rPr>
      <t>Arduino Nano - TX1</t>
    </r>
  </si>
  <si>
    <t>Nano</t>
  </si>
  <si>
    <t>RST</t>
  </si>
  <si>
    <t>VIN</t>
  </si>
  <si>
    <t>TX1</t>
  </si>
  <si>
    <t>RX0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</si>
  <si>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</si>
  <si>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</si>
  <si>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</si>
  <si>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</si>
  <si>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</si>
  <si>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</si>
  <si>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</si>
  <si>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</si>
  <si>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</si>
  <si>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Ground</t>
  </si>
  <si>
    <t>Arduino Mega RESET/Module F</t>
  </si>
  <si>
    <t xml:space="preserve">7 Segment Display (e) </t>
  </si>
  <si>
    <t>7 Segment Display (d)</t>
  </si>
  <si>
    <t xml:space="preserve">7 Segment Display (c) </t>
  </si>
  <si>
    <t>7 Segment Display (g)</t>
  </si>
  <si>
    <t>7 Segment Display (b)</t>
  </si>
  <si>
    <t>7 Segment Display (digit 2)</t>
  </si>
  <si>
    <t>7 Segment Display (DP, decimal point)</t>
  </si>
  <si>
    <t>7 Segment Display (digit 3)</t>
  </si>
  <si>
    <t>7 Segment Display (f)</t>
  </si>
  <si>
    <t>7 Segment Display (digit 1)</t>
  </si>
  <si>
    <t>7 Segment Display (a)</t>
  </si>
  <si>
    <r>
      <t xml:space="preserve">[RX0] </t>
    </r>
    <r>
      <rPr>
        <sz val="11"/>
        <color theme="1"/>
        <rFont val="Calibri"/>
        <family val="2"/>
        <scheme val="minor"/>
      </rPr>
      <t>(Computer Communication channel)</t>
    </r>
  </si>
  <si>
    <r>
      <t xml:space="preserve">[TX0] </t>
    </r>
    <r>
      <rPr>
        <sz val="11"/>
        <color theme="1"/>
        <rFont val="Calibri"/>
        <family val="2"/>
        <scheme val="minor"/>
      </rPr>
      <t>(Computer Communication channel)</t>
    </r>
  </si>
  <si>
    <t>Altitude LED (m)</t>
  </si>
  <si>
    <t>Altitude LED (km)</t>
  </si>
  <si>
    <t>Altitude LED (Mm)</t>
  </si>
  <si>
    <t>Altitude LED (Gm)</t>
  </si>
  <si>
    <r>
      <t xml:space="preserve">[SDA] </t>
    </r>
    <r>
      <rPr>
        <sz val="11"/>
        <color theme="1"/>
        <rFont val="Calibri"/>
        <family val="2"/>
        <scheme val="minor"/>
      </rPr>
      <t>Time Warp Down</t>
    </r>
  </si>
  <si>
    <r>
      <t xml:space="preserve">[SCL] </t>
    </r>
    <r>
      <rPr>
        <sz val="11"/>
        <color theme="1"/>
        <rFont val="Calibri"/>
        <family val="2"/>
        <scheme val="minor"/>
      </rPr>
      <t>Time Warp Up</t>
    </r>
  </si>
  <si>
    <r>
      <t xml:space="preserve">330 </t>
    </r>
    <r>
      <rPr>
        <sz val="11"/>
        <color theme="1"/>
        <rFont val="Calibri"/>
        <family val="2"/>
      </rPr>
      <t>Ω</t>
    </r>
  </si>
  <si>
    <t>Resistor</t>
  </si>
  <si>
    <t>1 kΩ</t>
  </si>
  <si>
    <t>10 kΩ</t>
  </si>
  <si>
    <t>RGB LED - LIFE SUPPORT - Red</t>
  </si>
  <si>
    <t>RGB LED - LIFE SUPPORT - Green</t>
  </si>
  <si>
    <t>RGB LED - LIFE SUPPORT - Blue</t>
  </si>
  <si>
    <r>
      <rPr>
        <b/>
        <sz val="11"/>
        <color theme="1"/>
        <rFont val="Calibri"/>
        <family val="2"/>
        <scheme val="minor"/>
      </rPr>
      <t>[PWM]</t>
    </r>
    <r>
      <rPr>
        <sz val="11"/>
        <color theme="1"/>
        <rFont val="Calibri"/>
        <family val="2"/>
        <scheme val="minor"/>
      </rPr>
      <t xml:space="preserve"> Heat/Life Support Switch</t>
    </r>
  </si>
  <si>
    <t>Paint (matte grey)</t>
  </si>
  <si>
    <t>Paint (frosted glass)</t>
  </si>
  <si>
    <t>Home Depot</t>
  </si>
  <si>
    <t>Magnet</t>
  </si>
  <si>
    <t>#8-32 Nut</t>
  </si>
  <si>
    <t>Plate-plate assembly screw</t>
  </si>
  <si>
    <t>Cross</t>
  </si>
  <si>
    <t>Head</t>
  </si>
  <si>
    <t>M3 Nut</t>
  </si>
  <si>
    <t>Long M3 Screw</t>
  </si>
  <si>
    <t>"Bracket" Screw (1/4")</t>
  </si>
  <si>
    <t>"Bracket" Screw (5/16")</t>
  </si>
  <si>
    <t>Throttle threaded rod</t>
  </si>
  <si>
    <t>1/4"</t>
  </si>
  <si>
    <t>3 ft</t>
  </si>
  <si>
    <t>1/4"-20</t>
  </si>
  <si>
    <t>1/4" Washer</t>
  </si>
  <si>
    <t>1/4" Jam Nut</t>
  </si>
  <si>
    <t>SKU</t>
  </si>
  <si>
    <t>XM2510010A20000</t>
  </si>
  <si>
    <t>0145976</t>
  </si>
  <si>
    <t>0170305</t>
  </si>
  <si>
    <t>83041</t>
  </si>
  <si>
    <t>29375</t>
  </si>
  <si>
    <t>33078</t>
  </si>
  <si>
    <t>91185</t>
  </si>
  <si>
    <t>0148194</t>
  </si>
  <si>
    <t>72640</t>
  </si>
  <si>
    <t>72637</t>
  </si>
  <si>
    <t>91285</t>
  </si>
  <si>
    <t>XM2510016A20000</t>
  </si>
  <si>
    <t>MN2510000A40000</t>
  </si>
  <si>
    <t>Total (USD)</t>
  </si>
  <si>
    <t>Fastenal</t>
  </si>
  <si>
    <t>Fastenal:</t>
  </si>
  <si>
    <t>Digikey:</t>
  </si>
  <si>
    <t>Head Angle</t>
  </si>
  <si>
    <r>
      <t>80-82</t>
    </r>
    <r>
      <rPr>
        <sz val="11"/>
        <color theme="1"/>
        <rFont val="Calibri"/>
        <family val="2"/>
      </rPr>
      <t>°</t>
    </r>
  </si>
  <si>
    <t>flat</t>
  </si>
  <si>
    <r>
      <t>90-92</t>
    </r>
    <r>
      <rPr>
        <sz val="11"/>
        <color theme="1"/>
        <rFont val="Calibri"/>
        <family val="2"/>
      </rPr>
      <t>°</t>
    </r>
  </si>
  <si>
    <t>80-82°</t>
  </si>
  <si>
    <t>80-84°</t>
  </si>
  <si>
    <t>Time Warp</t>
  </si>
  <si>
    <t>120Vac &gt; 12Vdc, 3A</t>
  </si>
  <si>
    <t>(Ship+Tax+Parts)</t>
  </si>
  <si>
    <t>(Ship+Tax)</t>
  </si>
  <si>
    <t>Pitch/Yaw/Roll</t>
  </si>
  <si>
    <t>Lights</t>
  </si>
  <si>
    <t>SAS, Mute</t>
  </si>
  <si>
    <t>Gear, Map</t>
  </si>
  <si>
    <t>Switch Guard (7-unit)</t>
  </si>
  <si>
    <t>RCS, AUTOPILOT-HOLD</t>
  </si>
  <si>
    <t>Switch Guard (3-unit)</t>
  </si>
  <si>
    <t>HEAT/LIFE</t>
  </si>
  <si>
    <t>COMMS</t>
  </si>
  <si>
    <t>24 LED driver board</t>
  </si>
  <si>
    <t>AC-DC Wall Plug Converter/Power Supply</t>
  </si>
  <si>
    <t>Arduino Nano</t>
  </si>
  <si>
    <t>Throttle Mounting Bracket</t>
  </si>
  <si>
    <t>Module C</t>
  </si>
  <si>
    <t>Module D</t>
  </si>
  <si>
    <t>Module E</t>
  </si>
  <si>
    <t>Module F</t>
  </si>
  <si>
    <t>Module G</t>
  </si>
  <si>
    <t>Module H</t>
  </si>
  <si>
    <t>Module I</t>
  </si>
  <si>
    <t>Bottom Plate</t>
  </si>
  <si>
    <t>Dodge Plate</t>
  </si>
  <si>
    <t>Mounting Plate</t>
  </si>
  <si>
    <t>Top Plate</t>
  </si>
  <si>
    <t>Back Plate</t>
  </si>
  <si>
    <t>Short Column</t>
  </si>
  <si>
    <t>Long Column</t>
  </si>
  <si>
    <t>Keyboard Pillar</t>
  </si>
  <si>
    <t>Version</t>
  </si>
  <si>
    <t>Status</t>
  </si>
  <si>
    <t>Analog Gauge - Cover</t>
  </si>
  <si>
    <t>Analog Gauge - Adapter</t>
  </si>
  <si>
    <t>Analog Gauge - Needle</t>
  </si>
  <si>
    <t>Analog Gauge Screen</t>
  </si>
  <si>
    <t>Heading Gauge Backplate</t>
  </si>
  <si>
    <t>Lightbox - Autopilot</t>
  </si>
  <si>
    <t>Lightbox - 4POS Twist Switch</t>
  </si>
  <si>
    <t>Phone Adapter</t>
  </si>
  <si>
    <t>Lightbox (1-light)</t>
  </si>
  <si>
    <t>Lightbox (2-light)</t>
  </si>
  <si>
    <t>Lightbox - Altitude</t>
  </si>
  <si>
    <t>Misc</t>
  </si>
  <si>
    <t>Fusion 360 Subscription</t>
  </si>
  <si>
    <t>Lightbox - 3POS - Narrow</t>
  </si>
  <si>
    <t>Lightbox - 3POS - Wide</t>
  </si>
  <si>
    <t>Not Started</t>
  </si>
  <si>
    <t>Modelled</t>
  </si>
  <si>
    <t>Prototyped</t>
  </si>
  <si>
    <t>Printed</t>
  </si>
  <si>
    <t>Status:</t>
  </si>
  <si>
    <t>Notes</t>
  </si>
  <si>
    <t>Quantity
Needed</t>
  </si>
  <si>
    <t>Quantity
Finished</t>
  </si>
  <si>
    <t>3D Printing</t>
  </si>
  <si>
    <t>Adafruit (2020-10-31)</t>
  </si>
  <si>
    <t>Sparkfun (2020-10-31)</t>
  </si>
  <si>
    <t>Gauge Tower Adapter</t>
  </si>
  <si>
    <t>Pushbutton (lit, yellow, mom)</t>
  </si>
  <si>
    <t>Pushbutton (lit, blue, latching)</t>
  </si>
  <si>
    <t>Pushbutton (lit, red, mom)</t>
  </si>
  <si>
    <t>Pushbutton (black, mom)</t>
  </si>
  <si>
    <t>Pushbutton Cover</t>
  </si>
  <si>
    <t>Pushbutton (lit, yellow, rectangular-large)</t>
  </si>
  <si>
    <t>Pushbutton (lit, white, rectangular-large)</t>
  </si>
  <si>
    <t>Pushbutton (lit, yellow, rectangular-small)</t>
  </si>
  <si>
    <t>Pushbutton (lit, white, rectangular-small)</t>
  </si>
  <si>
    <t>Missile Switch (lit, red)</t>
  </si>
  <si>
    <t>Missile Switch (lit, yellow)</t>
  </si>
  <si>
    <t>Staging</t>
  </si>
  <si>
    <t>3POS Lights, Action Groups</t>
  </si>
  <si>
    <t>Chute</t>
  </si>
  <si>
    <t>Fairing</t>
  </si>
  <si>
    <t>3mm LED (white)</t>
  </si>
  <si>
    <t>4POS Twist Switch Lights</t>
  </si>
  <si>
    <t>12 Vdc &gt; 5Vdc, 3A</t>
  </si>
  <si>
    <t>Vcc (+5V, +12V)</t>
  </si>
  <si>
    <t>Analog Gauge Backgrounds - Printing</t>
  </si>
  <si>
    <t>Throttle Handle</t>
  </si>
  <si>
    <t>Drawing
Revision</t>
  </si>
  <si>
    <t>Fusion360
Version</t>
  </si>
  <si>
    <t>Drawing
Status</t>
  </si>
  <si>
    <t>Gauge Tower Front Panel</t>
  </si>
  <si>
    <t>Gauge Tower Acrylic Plate</t>
  </si>
  <si>
    <t>Gauge Tower Back Panel</t>
  </si>
  <si>
    <t>Throttle Handlebar</t>
  </si>
  <si>
    <t>29446</t>
  </si>
  <si>
    <t>Stickers - Printing</t>
  </si>
  <si>
    <t>Dodge Plate Corner</t>
  </si>
  <si>
    <t>Home Depot - Paint, Brushes, Filler</t>
  </si>
  <si>
    <t>Filler spray paint</t>
  </si>
  <si>
    <t>vid6606-1 - FrequencyA - Heat/Life</t>
  </si>
  <si>
    <t>vid6606-1 - DirectionA - Heat/Life</t>
  </si>
  <si>
    <t>Rubber washers</t>
  </si>
  <si>
    <t>Lowes</t>
  </si>
  <si>
    <t>Fast Drying Urethane Spray Paint (3D printing smoothing agent)</t>
  </si>
  <si>
    <t>1" x 48" wooden dowel</t>
  </si>
  <si>
    <t>Metal Alloy Fabrication</t>
  </si>
  <si>
    <t>Panel Casing &amp; Module Plates</t>
  </si>
  <si>
    <t>3A Fuse</t>
  </si>
  <si>
    <t>Fuse Holder</t>
  </si>
  <si>
    <t>Digikey (2021-05-17)</t>
  </si>
  <si>
    <t>Shapeways</t>
  </si>
  <si>
    <t>Shapeways (2021-05-09)</t>
  </si>
  <si>
    <t>(Promo code waived shipping)</t>
  </si>
  <si>
    <t>Casing - Top Plate</t>
  </si>
  <si>
    <t>Casing - Mounting Plate</t>
  </si>
  <si>
    <t>Casing - Dodge Plate</t>
  </si>
  <si>
    <t>Casing - Bottom Plate</t>
  </si>
  <si>
    <t>Casing - Back Plate</t>
  </si>
  <si>
    <t>Gauge Tower - Front Panel</t>
  </si>
  <si>
    <t>Gauge Tower - Back Panel</t>
  </si>
  <si>
    <t>Gauge Tower - Acrylic Panel</t>
  </si>
  <si>
    <t>Module C Acrylic Plate</t>
  </si>
  <si>
    <t>Module D Acrylic Plate</t>
  </si>
  <si>
    <t>Module E Acrylic Plate</t>
  </si>
  <si>
    <t>Module F Acrylic Plate</t>
  </si>
  <si>
    <t>Module G Acrylic Plate</t>
  </si>
  <si>
    <t>Module H Acrylic Plate</t>
  </si>
  <si>
    <t>Module I Acrylic Plate</t>
  </si>
  <si>
    <t>Analog Gauge - Screen</t>
  </si>
  <si>
    <t>(For Sum)</t>
  </si>
  <si>
    <t>+12V
in</t>
  </si>
  <si>
    <t>+12V
out</t>
  </si>
  <si>
    <t>|</t>
  </si>
  <si>
    <t>+5V
DCDC</t>
  </si>
  <si>
    <t>+5V
Mega</t>
  </si>
  <si>
    <t>D14</t>
  </si>
  <si>
    <t>D32</t>
  </si>
  <si>
    <t>S4</t>
  </si>
  <si>
    <t>D40</t>
  </si>
  <si>
    <t>D16</t>
  </si>
  <si>
    <t>D20</t>
  </si>
  <si>
    <t>+5V
M*</t>
  </si>
  <si>
    <t>Joystick - Pitch Axis</t>
  </si>
  <si>
    <t>Joystick - Yaw Axis</t>
  </si>
  <si>
    <t>Joystick - Roll Axis</t>
  </si>
  <si>
    <t>Pitch Trim Switch</t>
  </si>
  <si>
    <t>Yaw Trim Switch</t>
  </si>
  <si>
    <t>Roll Trim Switch</t>
  </si>
  <si>
    <t xml:space="preserve">Have: </t>
  </si>
  <si>
    <t>female</t>
  </si>
  <si>
    <t>male</t>
  </si>
  <si>
    <t>Need</t>
  </si>
  <si>
    <t>Min</t>
  </si>
  <si>
    <t>Pins remaining</t>
  </si>
  <si>
    <t>Actually less, but assuming like it has not been started</t>
  </si>
  <si>
    <t>Total Pins Needed</t>
  </si>
  <si>
    <t>Total (male)</t>
  </si>
  <si>
    <t>Total (female)</t>
  </si>
  <si>
    <t>Note: the above totals do not include inter-board connectors</t>
  </si>
  <si>
    <t>Digikey (2021-11-17)</t>
  </si>
  <si>
    <t>Pololu (2021-11-23)</t>
  </si>
  <si>
    <t>Stranded Wire: 24 AWG, Blue,White,Yellow</t>
  </si>
  <si>
    <t>Autopilot Prograde LED (Green line)                 GREEN</t>
  </si>
  <si>
    <t>Autopilot Retrograde LED (Green line)             GREEN</t>
  </si>
  <si>
    <t>Autopilot Normal LED (Red line)                  MAGENTA</t>
  </si>
  <si>
    <t>Autopilot Normal LED (Blue line)                 MAGENTA</t>
  </si>
  <si>
    <t>Autopilot Anti-Normal LED (Red line)         MAGENTA</t>
  </si>
  <si>
    <t>Autopilot Anti-Normal LED (Blue line)        MAGENTA</t>
  </si>
  <si>
    <t>Autopilot Radial In LED (Green line)                     CYAN</t>
  </si>
  <si>
    <t>Autopilot Radial In LED (Blue line)                        CYAN</t>
  </si>
  <si>
    <t>Autopilot Radial Out LED (Green line)                 CYAN</t>
  </si>
  <si>
    <t>Autopilot Radial Out LED (Blue line)                    CYAN</t>
  </si>
  <si>
    <t>Autopilot Target LED (Red line)                   MAGENTA</t>
  </si>
  <si>
    <t>Autopilot Target LED (Blue line)                  MAGENTA</t>
  </si>
  <si>
    <t>Autopilot Anti-Target LED (Red line)          MAGENTA</t>
  </si>
  <si>
    <t>Autopilot Anti-Target LED (Blue line)         MAGENTA</t>
  </si>
  <si>
    <t>Glass Cockpit Switch - TL</t>
  </si>
  <si>
    <t>[PWM]</t>
  </si>
  <si>
    <t>Wire Colour Coding Convention</t>
  </si>
  <si>
    <t>[TX3] Glass Cockpit Switch - BL</t>
  </si>
  <si>
    <t>[RX3] Glass Cockpit Switch - TR</t>
  </si>
  <si>
    <t>[TX2] Glass Cockpit Switch - CR</t>
  </si>
  <si>
    <t>[RX2] Glass Cockpit Switch - BR</t>
  </si>
  <si>
    <t>NGH A</t>
  </si>
  <si>
    <t>5V</t>
  </si>
  <si>
    <t>A7 (D21)</t>
  </si>
  <si>
    <t>A6 (D20)</t>
  </si>
  <si>
    <t>A5 (D19)</t>
  </si>
  <si>
    <t>A4 (D18)</t>
  </si>
  <si>
    <t>A3 (D17)</t>
  </si>
  <si>
    <t>A2 (D16)</t>
  </si>
  <si>
    <t>A1 (D15)</t>
  </si>
  <si>
    <t>A0 (D14)</t>
  </si>
  <si>
    <t>REF</t>
  </si>
  <si>
    <t>3.3V</t>
  </si>
  <si>
    <t>NGH B</t>
  </si>
  <si>
    <t>Arduino Mega TX2</t>
  </si>
  <si>
    <t>Arduino Mega RX2</t>
  </si>
  <si>
    <t>Arduino Mega TX3</t>
  </si>
  <si>
    <t>Arduino Mega RX3</t>
  </si>
  <si>
    <t>Arduino Mega RX1 (overlaps with Nano's Computer Comms)</t>
  </si>
  <si>
    <t>Arduino Mega TX1 (overlaps with Nano's Computer Comms)</t>
  </si>
  <si>
    <r>
      <t xml:space="preserve">[TX2] </t>
    </r>
    <r>
      <rPr>
        <sz val="11"/>
        <color theme="1"/>
        <rFont val="Calibri"/>
        <family val="2"/>
        <scheme val="minor"/>
      </rPr>
      <t>NGH A - RX0</t>
    </r>
  </si>
  <si>
    <r>
      <t xml:space="preserve">[RX2] </t>
    </r>
    <r>
      <rPr>
        <sz val="11"/>
        <color theme="1"/>
        <rFont val="Calibri"/>
        <family val="2"/>
        <scheme val="minor"/>
      </rPr>
      <t>NGH A - TX1</t>
    </r>
  </si>
  <si>
    <r>
      <t xml:space="preserve">[RX3] </t>
    </r>
    <r>
      <rPr>
        <sz val="11"/>
        <color theme="1"/>
        <rFont val="Calibri"/>
        <family val="2"/>
        <scheme val="minor"/>
      </rPr>
      <t>NGH B - TX1</t>
    </r>
  </si>
  <si>
    <r>
      <t xml:space="preserve">[TX3] </t>
    </r>
    <r>
      <rPr>
        <sz val="11"/>
        <color theme="1"/>
        <rFont val="Calibri"/>
        <family val="2"/>
        <scheme val="minor"/>
      </rPr>
      <t>NGH B - RX0</t>
    </r>
  </si>
  <si>
    <t>Glass Cockpit Switch - BL</t>
  </si>
  <si>
    <t>Glass Cockpit Switch - TR</t>
  </si>
  <si>
    <t>Glass Cockpit Switch - CR</t>
  </si>
  <si>
    <t>Glass Cockpit Switch -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</si>
</sst>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</font>
    <font>
      <sz val="11"/>
      <name val="Calibri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 tint="-4.9989318521683403E-2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CDC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11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0" xfId="0" applyBorder="1"/>
    <xf numFmtId="0" fontId="0" fillId="0" borderId="0" xfId="0" applyFill="1" applyBorder="1"/>
    <xf numFmtId="0" fontId="3" fillId="0" borderId="0" xfId="2" applyBorder="1"/>
    <xf numFmtId="44" fontId="0" fillId="0" borderId="0" xfId="1" applyFont="1" applyBorder="1"/>
    <xf numFmtId="44" fontId="0" fillId="0" borderId="0" xfId="1" applyFont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applyAlignment="1">
      <alignment horizontal="left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4" fillId="0" borderId="0" xfId="2" applyFont="1" applyBorder="1"/>
    <xf numFmtId="44" fontId="5" fillId="0" borderId="0" xfId="1" applyFont="1" applyBorder="1"/>
    <xf numFmtId="0" fontId="3" fillId="0" borderId="0" xfId="2" applyFill="1" applyBorder="1"/>
    <xf numFmtId="44" fontId="0" fillId="0" borderId="0" xfId="1" applyFont="1" applyFill="1" applyBorder="1"/>
    <xf numFmtId="44" fontId="5" fillId="0" borderId="0" xfId="1" applyFont="1" applyFill="1" applyBorder="1"/>
    <xf numFmtId="0" fontId="0" fillId="0" borderId="0" xfId="0" quotePrefix="1" applyBorder="1" applyAlignment="1">
      <alignment horizontal="center"/>
    </xf>
    <xf numFmtId="0" fontId="4" fillId="0" borderId="0" xfId="2" quotePrefix="1" applyFont="1" applyBorder="1" applyAlignment="1">
      <alignment horizontal="center"/>
    </xf>
    <xf numFmtId="0" fontId="4" fillId="0" borderId="0" xfId="2" applyFont="1" applyFill="1" applyBorder="1"/>
    <xf numFmtId="44" fontId="6" fillId="0" borderId="0" xfId="1" applyFont="1" applyBorder="1"/>
    <xf numFmtId="0" fontId="0" fillId="0" borderId="0" xfId="0" applyFill="1" applyBorder="1" applyAlignment="1">
      <alignment horizontal="right"/>
    </xf>
    <xf numFmtId="44" fontId="7" fillId="0" borderId="0" xfId="1" applyFont="1" applyBorder="1"/>
    <xf numFmtId="0" fontId="0" fillId="0" borderId="0" xfId="0" applyBorder="1" applyAlignment="1">
      <alignment horizontal="right"/>
    </xf>
    <xf numFmtId="44" fontId="7" fillId="0" borderId="0" xfId="1" applyFont="1" applyFill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3" fillId="0" borderId="0" xfId="2" applyNumberFormat="1" applyFill="1" applyBorder="1"/>
    <xf numFmtId="2" fontId="0" fillId="0" borderId="2" xfId="0" applyNumberFormat="1" applyBorder="1" applyAlignment="1">
      <alignment horizontal="right"/>
    </xf>
    <xf numFmtId="0" fontId="0" fillId="0" borderId="2" xfId="0" applyFill="1" applyBorder="1" applyAlignment="1">
      <alignment horizontal="right"/>
    </xf>
    <xf numFmtId="2" fontId="0" fillId="0" borderId="2" xfId="0" applyNumberFormat="1" applyFill="1" applyBorder="1" applyAlignment="1">
      <alignment horizontal="right"/>
    </xf>
    <xf numFmtId="2" fontId="0" fillId="0" borderId="2" xfId="0" applyNumberFormat="1" applyBorder="1"/>
    <xf numFmtId="0" fontId="3" fillId="0" borderId="9" xfId="2" applyBorder="1"/>
    <xf numFmtId="0" fontId="0" fillId="0" borderId="9" xfId="0" applyBorder="1"/>
    <xf numFmtId="0" fontId="0" fillId="0" borderId="9" xfId="0" applyFill="1" applyBorder="1"/>
    <xf numFmtId="0" fontId="0" fillId="0" borderId="8" xfId="0" applyBorder="1" applyAlignment="1">
      <alignment horizontal="right"/>
    </xf>
    <xf numFmtId="0" fontId="2" fillId="5" borderId="7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0" fillId="0" borderId="6" xfId="0" applyBorder="1"/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2" xfId="0" quotePrefix="1" applyBorder="1"/>
    <xf numFmtId="0" fontId="0" fillId="0" borderId="2" xfId="0" quotePrefix="1" applyFill="1" applyBorder="1"/>
    <xf numFmtId="0" fontId="0" fillId="0" borderId="2" xfId="0" applyFill="1" applyBorder="1"/>
    <xf numFmtId="0" fontId="3" fillId="0" borderId="9" xfId="2" applyFill="1" applyBorder="1"/>
    <xf numFmtId="0" fontId="0" fillId="0" borderId="0" xfId="0" applyFill="1"/>
    <xf numFmtId="0" fontId="2" fillId="7" borderId="2" xfId="0" applyFont="1" applyFill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0" fillId="8" borderId="2" xfId="0" applyFill="1" applyBorder="1"/>
    <xf numFmtId="0" fontId="2" fillId="8" borderId="2" xfId="0" applyFont="1" applyFill="1" applyBorder="1" applyAlignment="1">
      <alignment horizontal="right"/>
    </xf>
    <xf numFmtId="0" fontId="0" fillId="6" borderId="2" xfId="0" applyFill="1" applyBorder="1"/>
    <xf numFmtId="0" fontId="2" fillId="6" borderId="2" xfId="0" applyFont="1" applyFill="1" applyBorder="1" applyAlignment="1">
      <alignment horizontal="right"/>
    </xf>
    <xf numFmtId="0" fontId="0" fillId="3" borderId="2" xfId="0" applyFill="1" applyBorder="1"/>
    <xf numFmtId="0" fontId="2" fillId="3" borderId="2" xfId="0" applyFont="1" applyFill="1" applyBorder="1" applyAlignment="1">
      <alignment horizontal="right"/>
    </xf>
    <xf numFmtId="0" fontId="0" fillId="9" borderId="2" xfId="0" applyFill="1" applyBorder="1"/>
    <xf numFmtId="0" fontId="2" fillId="9" borderId="2" xfId="0" applyFont="1" applyFill="1" applyBorder="1" applyAlignment="1">
      <alignment horizontal="right"/>
    </xf>
    <xf numFmtId="0" fontId="0" fillId="10" borderId="2" xfId="0" applyFill="1" applyBorder="1"/>
    <xf numFmtId="0" fontId="2" fillId="10" borderId="2" xfId="0" applyFont="1" applyFill="1" applyBorder="1" applyAlignment="1">
      <alignment horizontal="right"/>
    </xf>
    <xf numFmtId="0" fontId="0" fillId="0" borderId="11" xfId="0" applyBorder="1"/>
    <xf numFmtId="0" fontId="0" fillId="11" borderId="3" xfId="0" applyFill="1" applyBorder="1"/>
    <xf numFmtId="0" fontId="2" fillId="0" borderId="3" xfId="0" applyFont="1" applyBorder="1" applyAlignment="1">
      <alignment horizontal="right"/>
    </xf>
    <xf numFmtId="0" fontId="2" fillId="0" borderId="2" xfId="0" applyFont="1" applyFill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0" fillId="12" borderId="12" xfId="0" applyFont="1" applyFill="1" applyBorder="1"/>
    <xf numFmtId="0" fontId="0" fillId="0" borderId="12" xfId="0" applyFont="1" applyBorder="1"/>
    <xf numFmtId="0" fontId="0" fillId="13" borderId="0" xfId="0" applyFill="1"/>
    <xf numFmtId="0" fontId="0" fillId="13" borderId="0" xfId="0" applyFill="1" applyAlignment="1">
      <alignment horizontal="left"/>
    </xf>
    <xf numFmtId="0" fontId="0" fillId="0" borderId="0" xfId="0" applyFill="1" applyAlignment="1">
      <alignment horizontal="left"/>
    </xf>
    <xf numFmtId="0" fontId="0" fillId="13" borderId="0" xfId="0" applyFill="1" applyBorder="1"/>
    <xf numFmtId="0" fontId="2" fillId="0" borderId="0" xfId="0" applyFont="1"/>
    <xf numFmtId="0" fontId="0" fillId="10" borderId="2" xfId="0" applyFill="1" applyBorder="1" applyAlignment="1">
      <alignment horizontal="right"/>
    </xf>
    <xf numFmtId="0" fontId="0" fillId="9" borderId="2" xfId="0" applyFill="1" applyBorder="1" applyAlignment="1">
      <alignment horizontal="right"/>
    </xf>
    <xf numFmtId="0" fontId="0" fillId="3" borderId="2" xfId="0" applyFill="1" applyBorder="1" applyAlignment="1">
      <alignment horizontal="right"/>
    </xf>
    <xf numFmtId="0" fontId="0" fillId="6" borderId="2" xfId="0" applyFill="1" applyBorder="1" applyAlignment="1">
      <alignment horizontal="right"/>
    </xf>
    <xf numFmtId="0" fontId="0" fillId="8" borderId="2" xfId="0" applyFill="1" applyBorder="1" applyAlignment="1">
      <alignment horizontal="right"/>
    </xf>
    <xf numFmtId="0" fontId="0" fillId="0" borderId="3" xfId="0" applyFill="1" applyBorder="1"/>
    <xf numFmtId="0" fontId="0" fillId="0" borderId="0" xfId="0" applyFill="1" applyBorder="1" applyAlignment="1">
      <alignment horizontal="left"/>
    </xf>
    <xf numFmtId="0" fontId="0" fillId="13" borderId="0" xfId="0" quotePrefix="1" applyFill="1"/>
    <xf numFmtId="0" fontId="0" fillId="0" borderId="12" xfId="0" applyFont="1" applyFill="1" applyBorder="1"/>
    <xf numFmtId="0" fontId="2" fillId="0" borderId="0" xfId="0" applyFont="1" applyFill="1"/>
    <xf numFmtId="0" fontId="0" fillId="11" borderId="0" xfId="0" applyFill="1"/>
    <xf numFmtId="0" fontId="0" fillId="11" borderId="0" xfId="0" applyFill="1" applyAlignment="1">
      <alignment horizontal="left"/>
    </xf>
    <xf numFmtId="0" fontId="0" fillId="11" borderId="0" xfId="0" applyFill="1" applyBorder="1"/>
    <xf numFmtId="0" fontId="0" fillId="11" borderId="0" xfId="0" applyFill="1" applyBorder="1" applyAlignment="1">
      <alignment horizontal="left"/>
    </xf>
    <xf numFmtId="0" fontId="0" fillId="11" borderId="0" xfId="0" quotePrefix="1" applyFill="1"/>
    <xf numFmtId="2" fontId="0" fillId="0" borderId="3" xfId="0" applyNumberFormat="1" applyBorder="1"/>
    <xf numFmtId="0" fontId="2" fillId="5" borderId="10" xfId="0" applyFont="1" applyFill="1" applyBorder="1" applyAlignment="1">
      <alignment horizontal="left"/>
    </xf>
    <xf numFmtId="0" fontId="2" fillId="5" borderId="7" xfId="0" applyFont="1" applyFill="1" applyBorder="1" applyAlignment="1">
      <alignment horizontal="left"/>
    </xf>
    <xf numFmtId="2" fontId="0" fillId="0" borderId="2" xfId="0" applyNumberFormat="1" applyFill="1" applyBorder="1"/>
    <xf numFmtId="0" fontId="3" fillId="0" borderId="13" xfId="2" applyBorder="1"/>
    <xf numFmtId="0" fontId="0" fillId="0" borderId="13" xfId="0" applyBorder="1"/>
    <xf numFmtId="0" fontId="2" fillId="0" borderId="2" xfId="0" applyFont="1" applyBorder="1"/>
    <xf numFmtId="49" fontId="2" fillId="5" borderId="7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right"/>
    </xf>
    <xf numFmtId="49" fontId="0" fillId="0" borderId="2" xfId="0" applyNumberFormat="1" applyBorder="1" applyAlignment="1">
      <alignment horizontal="right"/>
    </xf>
    <xf numFmtId="0" fontId="3" fillId="0" borderId="13" xfId="2" applyFill="1" applyBorder="1"/>
    <xf numFmtId="49" fontId="0" fillId="0" borderId="2" xfId="0" applyNumberFormat="1" applyFill="1" applyBorder="1" applyAlignment="1">
      <alignment horizontal="right"/>
    </xf>
    <xf numFmtId="0" fontId="3" fillId="0" borderId="8" xfId="2" applyFill="1" applyBorder="1"/>
    <xf numFmtId="49" fontId="0" fillId="2" borderId="2" xfId="0" applyNumberFormat="1" applyFill="1" applyBorder="1" applyAlignment="1">
      <alignment horizontal="right"/>
    </xf>
    <xf numFmtId="0" fontId="0" fillId="2" borderId="9" xfId="0" applyFill="1" applyBorder="1"/>
    <xf numFmtId="0" fontId="0" fillId="2" borderId="2" xfId="0" applyFill="1" applyBorder="1"/>
    <xf numFmtId="2" fontId="0" fillId="2" borderId="2" xfId="0" applyNumberFormat="1" applyFill="1" applyBorder="1"/>
    <xf numFmtId="0" fontId="0" fillId="2" borderId="2" xfId="0" applyFill="1" applyBorder="1" applyAlignment="1">
      <alignment horizontal="right"/>
    </xf>
    <xf numFmtId="2" fontId="0" fillId="2" borderId="2" xfId="0" applyNumberFormat="1" applyFill="1" applyBorder="1" applyAlignment="1">
      <alignment horizontal="right"/>
    </xf>
    <xf numFmtId="0" fontId="3" fillId="2" borderId="13" xfId="2" applyFill="1" applyBorder="1"/>
    <xf numFmtId="0" fontId="3" fillId="2" borderId="9" xfId="2" applyFill="1" applyBorder="1"/>
    <xf numFmtId="0" fontId="0" fillId="2" borderId="8" xfId="0" applyFill="1" applyBorder="1" applyAlignment="1">
      <alignment horizontal="right"/>
    </xf>
    <xf numFmtId="0" fontId="3" fillId="14" borderId="13" xfId="2" applyFill="1" applyBorder="1"/>
    <xf numFmtId="49" fontId="0" fillId="14" borderId="2" xfId="0" applyNumberFormat="1" applyFill="1" applyBorder="1" applyAlignment="1">
      <alignment horizontal="right"/>
    </xf>
    <xf numFmtId="0" fontId="3" fillId="14" borderId="9" xfId="2" applyFill="1" applyBorder="1"/>
    <xf numFmtId="0" fontId="0" fillId="14" borderId="2" xfId="0" applyFill="1" applyBorder="1"/>
    <xf numFmtId="2" fontId="0" fillId="14" borderId="2" xfId="0" applyNumberFormat="1" applyFill="1" applyBorder="1"/>
    <xf numFmtId="0" fontId="0" fillId="14" borderId="2" xfId="0" applyFill="1" applyBorder="1" applyAlignment="1">
      <alignment horizontal="right"/>
    </xf>
    <xf numFmtId="2" fontId="0" fillId="14" borderId="2" xfId="0" applyNumberFormat="1" applyFill="1" applyBorder="1" applyAlignment="1">
      <alignment horizontal="right"/>
    </xf>
    <xf numFmtId="0" fontId="0" fillId="14" borderId="8" xfId="0" applyFill="1" applyBorder="1" applyAlignment="1">
      <alignment horizontal="right"/>
    </xf>
    <xf numFmtId="0" fontId="3" fillId="15" borderId="13" xfId="2" applyFill="1" applyBorder="1"/>
    <xf numFmtId="49" fontId="0" fillId="15" borderId="2" xfId="0" applyNumberFormat="1" applyFill="1" applyBorder="1" applyAlignment="1">
      <alignment horizontal="right"/>
    </xf>
    <xf numFmtId="0" fontId="3" fillId="15" borderId="9" xfId="2" applyFill="1" applyBorder="1"/>
    <xf numFmtId="0" fontId="0" fillId="15" borderId="2" xfId="0" applyFill="1" applyBorder="1"/>
    <xf numFmtId="2" fontId="0" fillId="15" borderId="2" xfId="0" applyNumberFormat="1" applyFill="1" applyBorder="1"/>
    <xf numFmtId="0" fontId="0" fillId="15" borderId="2" xfId="0" applyFill="1" applyBorder="1" applyAlignment="1">
      <alignment horizontal="right"/>
    </xf>
    <xf numFmtId="2" fontId="0" fillId="15" borderId="2" xfId="0" applyNumberFormat="1" applyFill="1" applyBorder="1" applyAlignment="1">
      <alignment horizontal="right"/>
    </xf>
    <xf numFmtId="0" fontId="0" fillId="15" borderId="8" xfId="0" applyFill="1" applyBorder="1" applyAlignment="1">
      <alignment horizontal="right"/>
    </xf>
    <xf numFmtId="0" fontId="3" fillId="16" borderId="0" xfId="2" applyFill="1"/>
    <xf numFmtId="49" fontId="0" fillId="16" borderId="2" xfId="0" applyNumberFormat="1" applyFill="1" applyBorder="1" applyAlignment="1">
      <alignment horizontal="right"/>
    </xf>
    <xf numFmtId="0" fontId="0" fillId="16" borderId="9" xfId="0" applyFill="1" applyBorder="1"/>
    <xf numFmtId="0" fontId="0" fillId="16" borderId="2" xfId="0" applyFill="1" applyBorder="1"/>
    <xf numFmtId="0" fontId="0" fillId="16" borderId="2" xfId="0" quotePrefix="1" applyFill="1" applyBorder="1"/>
    <xf numFmtId="2" fontId="0" fillId="16" borderId="2" xfId="0" applyNumberFormat="1" applyFill="1" applyBorder="1"/>
    <xf numFmtId="0" fontId="0" fillId="16" borderId="2" xfId="0" applyFill="1" applyBorder="1" applyAlignment="1">
      <alignment horizontal="right"/>
    </xf>
    <xf numFmtId="2" fontId="0" fillId="16" borderId="2" xfId="0" applyNumberFormat="1" applyFill="1" applyBorder="1" applyAlignment="1">
      <alignment horizontal="right"/>
    </xf>
    <xf numFmtId="2" fontId="0" fillId="16" borderId="8" xfId="0" applyNumberFormat="1" applyFill="1" applyBorder="1" applyAlignment="1">
      <alignment horizontal="right"/>
    </xf>
    <xf numFmtId="0" fontId="3" fillId="16" borderId="13" xfId="2" applyFill="1" applyBorder="1"/>
    <xf numFmtId="0" fontId="0" fillId="16" borderId="8" xfId="0" applyFill="1" applyBorder="1" applyAlignment="1">
      <alignment horizontal="right"/>
    </xf>
    <xf numFmtId="0" fontId="0" fillId="0" borderId="8" xfId="0" applyFill="1" applyBorder="1" applyAlignment="1">
      <alignment horizontal="right"/>
    </xf>
    <xf numFmtId="0" fontId="3" fillId="2" borderId="1" xfId="2" applyFill="1" applyBorder="1"/>
    <xf numFmtId="0" fontId="0" fillId="2" borderId="3" xfId="0" applyFill="1" applyBorder="1"/>
    <xf numFmtId="0" fontId="0" fillId="2" borderId="3" xfId="0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44" fontId="0" fillId="0" borderId="0" xfId="1" applyFont="1"/>
    <xf numFmtId="0" fontId="0" fillId="0" borderId="13" xfId="0" applyFill="1" applyBorder="1"/>
    <xf numFmtId="0" fontId="13" fillId="0" borderId="0" xfId="0" applyFont="1" applyBorder="1"/>
    <xf numFmtId="44" fontId="0" fillId="0" borderId="0" xfId="1" applyFont="1" applyFill="1" applyBorder="1" applyAlignment="1">
      <alignment horizontal="left"/>
    </xf>
    <xf numFmtId="44" fontId="7" fillId="0" borderId="0" xfId="1" applyFont="1"/>
    <xf numFmtId="0" fontId="13" fillId="0" borderId="0" xfId="0" applyFont="1" applyFill="1" applyBorder="1"/>
    <xf numFmtId="9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44" fontId="2" fillId="0" borderId="0" xfId="1" applyFont="1" applyBorder="1" applyAlignment="1">
      <alignment horizontal="center"/>
    </xf>
    <xf numFmtId="0" fontId="14" fillId="0" borderId="2" xfId="0" applyFont="1" applyFill="1" applyBorder="1" applyAlignment="1">
      <alignment horizontal="right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9" fontId="0" fillId="0" borderId="0" xfId="0" applyNumberFormat="1" applyFill="1" applyAlignment="1">
      <alignment horizontal="center"/>
    </xf>
    <xf numFmtId="9" fontId="0" fillId="0" borderId="0" xfId="0" applyNumberFormat="1" applyAlignment="1">
      <alignment horizontal="center"/>
    </xf>
    <xf numFmtId="44" fontId="4" fillId="0" borderId="0" xfId="1" applyFont="1" applyFill="1" applyBorder="1"/>
    <xf numFmtId="0" fontId="3" fillId="0" borderId="0" xfId="2"/>
    <xf numFmtId="44" fontId="0" fillId="4" borderId="0" xfId="1" applyFont="1" applyFill="1" applyBorder="1"/>
    <xf numFmtId="44" fontId="4" fillId="0" borderId="0" xfId="1" applyFont="1" applyFill="1" applyBorder="1" applyAlignment="1">
      <alignment horizontal="left"/>
    </xf>
    <xf numFmtId="0" fontId="0" fillId="4" borderId="0" xfId="0" applyFill="1"/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6" fillId="19" borderId="2" xfId="0" quotePrefix="1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17" borderId="2" xfId="0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/>
    </xf>
    <xf numFmtId="0" fontId="18" fillId="20" borderId="14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16" fillId="21" borderId="2" xfId="0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9" fontId="0" fillId="0" borderId="0" xfId="0" applyNumberFormat="1" applyFill="1"/>
    <xf numFmtId="0" fontId="16" fillId="4" borderId="0" xfId="0" applyFont="1" applyFill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3" fillId="0" borderId="0" xfId="2" applyFill="1"/>
    <xf numFmtId="44" fontId="7" fillId="0" borderId="0" xfId="0" applyNumberFormat="1" applyFont="1"/>
    <xf numFmtId="44" fontId="7" fillId="0" borderId="0" xfId="0" applyNumberFormat="1" applyFont="1" applyAlignment="1">
      <alignment horizontal="left"/>
    </xf>
    <xf numFmtId="0" fontId="0" fillId="0" borderId="0" xfId="0" applyFont="1"/>
    <xf numFmtId="0" fontId="2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 textRotation="90"/>
    </xf>
    <xf numFmtId="0" fontId="0" fillId="0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8" fillId="20" borderId="14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/>
    </xf>
    <xf numFmtId="0" fontId="0" fillId="17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18" borderId="2" xfId="0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4" borderId="0" xfId="0" applyFont="1" applyFill="1"/>
    <xf numFmtId="0" fontId="0" fillId="22" borderId="0" xfId="0" applyFill="1" applyAlignment="1">
      <alignment horizontal="left"/>
    </xf>
    <xf numFmtId="0" fontId="2" fillId="22" borderId="0" xfId="0" applyFont="1" applyFill="1"/>
    <xf numFmtId="0" fontId="0" fillId="22" borderId="0" xfId="0" applyFill="1"/>
    <xf numFmtId="0" fontId="0" fillId="22" borderId="12" xfId="0" applyFont="1" applyFill="1" applyBorder="1"/>
    <xf numFmtId="0" fontId="0" fillId="0" borderId="0" xfId="0" quotePrefix="1" applyFill="1"/>
  </cellXfs>
  <cellStyles count="3">
    <cellStyle name="Currency" xfId="1" builtinId="4"/>
    <cellStyle name="Hyperlink" xfId="2" builtinId="8"/>
    <cellStyle name="Normal" xfId="0" builtinId="0"/>
  </cellStyles>
  <dxfs count="55"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30" formatCode="@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* #,##0.00_-;\-&quot;$&quot;* #,##0.00_-;_-&quot;$&quot;* &quot;-&quot;??_-;_-@_-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* #,##0.00_-;\-&quot;$&quot;* #,##0.00_-;_-&quot;$&quot;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top" textRotation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color auto="1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165654</xdr:colOff>
      <xdr:row>0</xdr:row>
      <xdr:rowOff>140805</xdr:rowOff>
    </xdr:from>
    <xdr:to>
      <xdr:col>16</xdr:col>
      <xdr:colOff>571501</xdr:colOff>
      <xdr:row>8</xdr:row>
      <xdr:rowOff>96453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89306" y="140805"/>
          <a:ext cx="1018760" cy="1479648"/>
        </a:xfrm>
        <a:prstGeom prst="rect">
          <a:avLst/>
        </a:prstGeom>
      </xdr:spPr>
    </xdr:pic>
    <xdr:clientData/>
  </xdr:twoCellAnchor>
  <xdr:twoCellAnchor editAs="oneCell">
    <xdr:from>
      <xdr:col>15</xdr:col>
      <xdr:colOff>298173</xdr:colOff>
      <xdr:row>11</xdr:row>
      <xdr:rowOff>74545</xdr:rowOff>
    </xdr:from>
    <xdr:to>
      <xdr:col>16</xdr:col>
      <xdr:colOff>548023</xdr:colOff>
      <xdr:row>18</xdr:row>
      <xdr:rowOff>82827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21825" y="1789045"/>
          <a:ext cx="862763" cy="134178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Table2" displayName="Table2" ref="A1:I146" totalsRowCount="1" headerRowDxfId="54">
  <autoFilter ref="A1:I145"/>
  <tableColumns count="9">
    <tableColumn id="1" name="Module" dataDxfId="53" totalsRowDxfId="21"/>
    <tableColumn id="13" name="Part"/>
    <tableColumn id="5" name=" #" dataDxfId="52"/>
    <tableColumn id="2" name="CA"/>
    <tableColumn id="3" name="US"/>
    <tableColumn id="4" name="CAD" dataCellStyle="Currency"/>
    <tableColumn id="14" name="USD" dataDxfId="51" totalsRowDxfId="20" dataCellStyle="Currency"/>
    <tableColumn id="6" name="Total (CAD)" totalsRowFunction="custom" dataDxfId="50" totalsRowDxfId="19">
      <calculatedColumnFormula>Table2[[#This Row],[CAD]]*Table2[[#This Row],[ '#]] + Table2[[#This Row],[USD]]*Table2[[#This Row],[ '#]]*ExchangeRate</calculatedColumnFormula>
      <totalsRowFormula>SUM(Table2[Total (CAD)])</totalsRowFormula>
    </tableColumn>
    <tableColumn id="7" name="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2:O29" totalsRowCount="1" headerRowDxfId="49" dataDxfId="47" headerRowBorderDxfId="48" tableBorderDxfId="46" totalsRowBorderDxfId="45">
  <autoFilter ref="A2:O28"/>
  <tableColumns count="15">
    <tableColumn id="1" name="Description" totalsRowLabel="Total (USD)" dataDxfId="44" totalsRowDxfId="18"/>
    <tableColumn id="14" name="SKU" dataDxfId="43" totalsRowDxfId="17" dataCellStyle="Normal"/>
    <tableColumn id="13" name="Head" dataDxfId="42" totalsRowDxfId="16" dataCellStyle="Hyperlink"/>
    <tableColumn id="2" name="Price/100" dataDxfId="41" totalsRowDxfId="15"/>
    <tableColumn id="5" name="Min #" dataDxfId="40" totalsRowDxfId="14"/>
    <tableColumn id="3" name="Quantity" dataDxfId="39" totalsRowDxfId="13"/>
    <tableColumn id="4" name="Cost" totalsRowFunction="sum" dataDxfId="38" totalsRowDxfId="12"/>
    <tableColumn id="6" name="Thread" dataDxfId="37" totalsRowDxfId="11"/>
    <tableColumn id="15" name="Head Angle" dataDxfId="36" totalsRowDxfId="10"/>
    <tableColumn id="7" name="A" dataDxfId="35" totalsRowDxfId="9"/>
    <tableColumn id="8" name="B" dataDxfId="34" totalsRowDxfId="8"/>
    <tableColumn id="9" name="C" dataDxfId="33" totalsRowDxfId="7"/>
    <tableColumn id="10" name="A2" dataDxfId="32" totalsRowDxfId="6"/>
    <tableColumn id="11" name="B2" dataDxfId="31" totalsRowDxfId="5"/>
    <tableColumn id="12" name="C2" dataDxfId="30" totalsRowDxfId="4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id="3" name="Table14" displayName="Table14" ref="A1:F356" totalsRowShown="0">
  <autoFilter ref="A1:F356"/>
  <tableColumns count="6">
    <tableColumn id="1" name="Board"/>
    <tableColumn id="2" name="Pin"/>
    <tableColumn id="3" name="Module"/>
    <tableColumn id="4" name="Pin Mode"/>
    <tableColumn id="6" name="LED"/>
    <tableColumn id="5" name="Component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23" totalsRowShown="0" headerRowDxfId="29">
  <autoFilter ref="A1:F23"/>
  <tableColumns count="6">
    <tableColumn id="1" name="Part"/>
    <tableColumn id="3" name="Quantity" dataDxfId="28"/>
    <tableColumn id="6" name="Fusion360_x000a_Version" dataDxfId="27"/>
    <tableColumn id="2" name="Drawing_x000a_Status" dataDxfId="26"/>
    <tableColumn id="4" name="Drawing_x000a_Revision" dataDxfId="25"/>
    <tableColumn id="5" name="Notes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id="5" name="Table46" displayName="Table46" ref="A1:C42" totalsRowCount="1">
  <autoFilter ref="A1:C41"/>
  <tableColumns count="3">
    <tableColumn id="1" name="Module" totalsRowLabel="Total" dataDxfId="24" totalsRowDxfId="23"/>
    <tableColumn id="2" name="Part"/>
    <tableColumn id="3" name="Quantity" totalsRowFunction="sum"/>
  </tableColumns>
  <tableStyleInfo name="TableStyleLight16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E1:J26" totalsRowCount="1">
  <autoFilter ref="E1:J25"/>
  <tableColumns count="6">
    <tableColumn id="1" name="Part" totalsRowLabel="Total"/>
    <tableColumn id="2" name="Quantity_x000a_Needed" totalsRowFunction="sum">
      <calculatedColumnFormula>SUMIF(Table46[Part], E2,Table46[Quantity])</calculatedColumnFormula>
    </tableColumn>
    <tableColumn id="6" name="Quantity_x000a_Finished" totalsRowFunction="sum"/>
    <tableColumn id="3" name="Version" dataDxfId="22"/>
    <tableColumn id="4" name="Status"/>
    <tableColumn id="5" name="Note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dafruit.com/product/575" TargetMode="External"/><Relationship Id="rId117" Type="http://schemas.openxmlformats.org/officeDocument/2006/relationships/hyperlink" Target="https://www.digikey.ca/en/products/detail/bel-fuse-inc/5MF-3-R/1009038" TargetMode="External"/><Relationship Id="rId21" Type="http://schemas.openxmlformats.org/officeDocument/2006/relationships/hyperlink" Target="https://www.adafruit.com/product/159" TargetMode="External"/><Relationship Id="rId42" Type="http://schemas.openxmlformats.org/officeDocument/2006/relationships/hyperlink" Target="https://www.adafruit.com/product/3143" TargetMode="External"/><Relationship Id="rId47" Type="http://schemas.openxmlformats.org/officeDocument/2006/relationships/hyperlink" Target="https://elmwoodelectronics.ca/products/10647" TargetMode="External"/><Relationship Id="rId63" Type="http://schemas.openxmlformats.org/officeDocument/2006/relationships/hyperlink" Target="https://www.adafruit.com/product/2739" TargetMode="External"/><Relationship Id="rId68" Type="http://schemas.openxmlformats.org/officeDocument/2006/relationships/hyperlink" Target="https://elmwoodelectronics.ca/products/diffused-rectangular-5mm-rgb-leds-pack-of-10" TargetMode="External"/><Relationship Id="rId84" Type="http://schemas.openxmlformats.org/officeDocument/2006/relationships/hyperlink" Target="https://vod.ebay.ca/vod/FetchOrderDetails?transid=885606284025&amp;itemid=382086328207&amp;qu=2&amp;ul_noapp=true" TargetMode="External"/><Relationship Id="rId89" Type="http://schemas.openxmlformats.org/officeDocument/2006/relationships/hyperlink" Target="https://www.digikey.ca/product-detail/en/electroswitch/7162C/451-1166-ND/2679549" TargetMode="External"/><Relationship Id="rId112" Type="http://schemas.openxmlformats.org/officeDocument/2006/relationships/hyperlink" Target="https://www.sparkfun.com/products/12476" TargetMode="External"/><Relationship Id="rId16" Type="http://schemas.openxmlformats.org/officeDocument/2006/relationships/hyperlink" Target="https://www.ebay.ca/itm/282456733701" TargetMode="External"/><Relationship Id="rId107" Type="http://schemas.openxmlformats.org/officeDocument/2006/relationships/hyperlink" Target="https://elmwoodelectronics.ca/products/100-led-assortment" TargetMode="External"/><Relationship Id="rId11" Type="http://schemas.openxmlformats.org/officeDocument/2006/relationships/hyperlink" Target="https://www.adafruit.com/product/3218" TargetMode="External"/><Relationship Id="rId32" Type="http://schemas.openxmlformats.org/officeDocument/2006/relationships/hyperlink" Target="https://elmwoodelectronics.ca/products/5_5-2_1mm-barrel-connector-dc-power-plug" TargetMode="External"/><Relationship Id="rId37" Type="http://schemas.openxmlformats.org/officeDocument/2006/relationships/hyperlink" Target="https://www.adafruit.com/product/1429" TargetMode="External"/><Relationship Id="rId53" Type="http://schemas.openxmlformats.org/officeDocument/2006/relationships/hyperlink" Target="https://www.pololu.com/account/view_salesorder/1J335359?s=fa90adff" TargetMode="External"/><Relationship Id="rId58" Type="http://schemas.openxmlformats.org/officeDocument/2006/relationships/hyperlink" Target="https://elmwoodelectronics.ca/products/diffused-rectangular-5mm-rgb-leds-pack-of-10" TargetMode="External"/><Relationship Id="rId74" Type="http://schemas.openxmlformats.org/officeDocument/2006/relationships/hyperlink" Target="https://elmwoodelectronics.ca/products/100-led-assortment" TargetMode="External"/><Relationship Id="rId79" Type="http://schemas.openxmlformats.org/officeDocument/2006/relationships/hyperlink" Target="https://elmwoodelectronics.ca/products/diffused-rectangular-5mm-rgb-leds-pack-of-10" TargetMode="External"/><Relationship Id="rId102" Type="http://schemas.openxmlformats.org/officeDocument/2006/relationships/hyperlink" Target="https://www.digikey.ca/en/products/detail/e-switch/PS1057ABLK/46305" TargetMode="External"/><Relationship Id="rId123" Type="http://schemas.openxmlformats.org/officeDocument/2006/relationships/printerSettings" Target="../printerSettings/printerSettings1.bin"/><Relationship Id="rId5" Type="http://schemas.openxmlformats.org/officeDocument/2006/relationships/hyperlink" Target="https://www.adafruit.com/product/1441" TargetMode="External"/><Relationship Id="rId61" Type="http://schemas.openxmlformats.org/officeDocument/2006/relationships/hyperlink" Target="https://www.adafruit.com/product/2424" TargetMode="External"/><Relationship Id="rId82" Type="http://schemas.openxmlformats.org/officeDocument/2006/relationships/hyperlink" Target="https://elmwoodelectronics.ca/products/100-led-assortment" TargetMode="External"/><Relationship Id="rId90" Type="http://schemas.openxmlformats.org/officeDocument/2006/relationships/hyperlink" Target="https://elmwoodelectronics.ca/products/9276" TargetMode="External"/><Relationship Id="rId95" Type="http://schemas.openxmlformats.org/officeDocument/2006/relationships/hyperlink" Target="https://www.sparkfun.com/products/12779" TargetMode="External"/><Relationship Id="rId19" Type="http://schemas.openxmlformats.org/officeDocument/2006/relationships/hyperlink" Target="https://www.sparkfun.com/products/9238" TargetMode="External"/><Relationship Id="rId14" Type="http://schemas.openxmlformats.org/officeDocument/2006/relationships/hyperlink" Target="https://elmwoodelectronics.ca/products/16mm-illuminated-pushbutton-red-momentary" TargetMode="External"/><Relationship Id="rId22" Type="http://schemas.openxmlformats.org/officeDocument/2006/relationships/hyperlink" Target="https://elmwoodelectronics.ca/products/10002" TargetMode="External"/><Relationship Id="rId27" Type="http://schemas.openxmlformats.org/officeDocument/2006/relationships/hyperlink" Target="https://elmwoodelectronics.ca/products/ina169-analog-dc-current-sensor-breakout-60v-5a-max" TargetMode="External"/><Relationship Id="rId30" Type="http://schemas.openxmlformats.org/officeDocument/2006/relationships/hyperlink" Target="https://www.adafruit.com/product/610" TargetMode="External"/><Relationship Id="rId35" Type="http://schemas.openxmlformats.org/officeDocument/2006/relationships/hyperlink" Target="https://www.adafruit.com/product/1515" TargetMode="External"/><Relationship Id="rId43" Type="http://schemas.openxmlformats.org/officeDocument/2006/relationships/hyperlink" Target="https://elmwoodelectronics.ca/products/11367" TargetMode="External"/><Relationship Id="rId48" Type="http://schemas.openxmlformats.org/officeDocument/2006/relationships/hyperlink" Target="https://elmwoodelectronics.ca/products/10646" TargetMode="External"/><Relationship Id="rId56" Type="http://schemas.openxmlformats.org/officeDocument/2006/relationships/hyperlink" Target="https://elmwoodelectronics.ca/products/automotive-gauge-stepper-motor" TargetMode="External"/><Relationship Id="rId64" Type="http://schemas.openxmlformats.org/officeDocument/2006/relationships/hyperlink" Target="https://elmwoodelectronics.ca/products/diffused-rectangular-5mm-rgb-leds-pack-of-10" TargetMode="External"/><Relationship Id="rId69" Type="http://schemas.openxmlformats.org/officeDocument/2006/relationships/hyperlink" Target="https://www.adafruit.com/product/2424" TargetMode="External"/><Relationship Id="rId77" Type="http://schemas.openxmlformats.org/officeDocument/2006/relationships/hyperlink" Target="https://elmwoodelectronics.ca/products/100-led-assortment" TargetMode="External"/><Relationship Id="rId100" Type="http://schemas.openxmlformats.org/officeDocument/2006/relationships/hyperlink" Target="https://www.adafruit.com/product/1429" TargetMode="External"/><Relationship Id="rId105" Type="http://schemas.openxmlformats.org/officeDocument/2006/relationships/hyperlink" Target="https://www.sparkfun.com/products/9276" TargetMode="External"/><Relationship Id="rId113" Type="http://schemas.openxmlformats.org/officeDocument/2006/relationships/hyperlink" Target="https://elmwoodelectronics.ca/products/100-led-assortment" TargetMode="External"/><Relationship Id="rId118" Type="http://schemas.openxmlformats.org/officeDocument/2006/relationships/hyperlink" Target="https://www.pololu.com/product/1931" TargetMode="External"/><Relationship Id="rId8" Type="http://schemas.openxmlformats.org/officeDocument/2006/relationships/hyperlink" Target="https://www.adafruit.com/product/562" TargetMode="External"/><Relationship Id="rId51" Type="http://schemas.openxmlformats.org/officeDocument/2006/relationships/hyperlink" Target="https://www.digikey.ca/en/products/detail/e-switch/PS1057ABLK/46305" TargetMode="External"/><Relationship Id="rId72" Type="http://schemas.openxmlformats.org/officeDocument/2006/relationships/hyperlink" Target="https://elmwoodelectronics.ca/products/diffused-rectangular-5mm-rgb-leds-pack-of-10" TargetMode="External"/><Relationship Id="rId80" Type="http://schemas.openxmlformats.org/officeDocument/2006/relationships/hyperlink" Target="https://elmwoodelectronics.ca/products/100-led-assortment" TargetMode="External"/><Relationship Id="rId85" Type="http://schemas.openxmlformats.org/officeDocument/2006/relationships/hyperlink" Target="https://elmwoodelectronics.ca/products/100-led-assortment" TargetMode="External"/><Relationship Id="rId93" Type="http://schemas.openxmlformats.org/officeDocument/2006/relationships/hyperlink" Target="https://www.ebay.ca/myb/PurchaseHistory?_trksid=p2055359.m2034.l3391" TargetMode="External"/><Relationship Id="rId98" Type="http://schemas.openxmlformats.org/officeDocument/2006/relationships/hyperlink" Target="https://elmwoodelectronics.ca/products/8890" TargetMode="External"/><Relationship Id="rId121" Type="http://schemas.openxmlformats.org/officeDocument/2006/relationships/hyperlink" Target="https://www.digikey.ca/en/products/detail/sparkfun-electronics/PRT-11367/5956251" TargetMode="External"/><Relationship Id="rId3" Type="http://schemas.openxmlformats.org/officeDocument/2006/relationships/hyperlink" Target="https://www.adafruit.com/product/1439" TargetMode="External"/><Relationship Id="rId12" Type="http://schemas.openxmlformats.org/officeDocument/2006/relationships/hyperlink" Target="https://elmwoodelectronics.ca/products/illuminated-toggle-switch-with-cover-red" TargetMode="External"/><Relationship Id="rId17" Type="http://schemas.openxmlformats.org/officeDocument/2006/relationships/hyperlink" Target="https://www.sparkfun.com/products/11061" TargetMode="External"/><Relationship Id="rId25" Type="http://schemas.openxmlformats.org/officeDocument/2006/relationships/hyperlink" Target="https://www.adafruit.com/product/1164" TargetMode="External"/><Relationship Id="rId33" Type="http://schemas.openxmlformats.org/officeDocument/2006/relationships/hyperlink" Target="https://www.adafruit.com/product/907" TargetMode="External"/><Relationship Id="rId38" Type="http://schemas.openxmlformats.org/officeDocument/2006/relationships/hyperlink" Target="https://elmwoodelectronics.ca/products/adafruit-24-channel-12-bit-pwm-led-driver-spi-interface" TargetMode="External"/><Relationship Id="rId46" Type="http://schemas.openxmlformats.org/officeDocument/2006/relationships/hyperlink" Target="https://elmwoodelectronics.ca/products/premium-male-female-raw-jumper-wires-40-x-6" TargetMode="External"/><Relationship Id="rId59" Type="http://schemas.openxmlformats.org/officeDocument/2006/relationships/hyperlink" Target="https://elmwoodelectronics.ca/products/9276" TargetMode="External"/><Relationship Id="rId67" Type="http://schemas.openxmlformats.org/officeDocument/2006/relationships/hyperlink" Target="https://www.adafruit.com/product/2739" TargetMode="External"/><Relationship Id="rId103" Type="http://schemas.openxmlformats.org/officeDocument/2006/relationships/hyperlink" Target="https://www.digikey.ca/product-detail/en/globtek-inc/WR9HE3000CCP-F(R6B)/1939-1464-ND/8598267" TargetMode="External"/><Relationship Id="rId108" Type="http://schemas.openxmlformats.org/officeDocument/2006/relationships/hyperlink" Target="https://www.adafruit.com/product/2174" TargetMode="External"/><Relationship Id="rId116" Type="http://schemas.openxmlformats.org/officeDocument/2006/relationships/hyperlink" Target="https://www.digikey.ca/en/products/detail/w%C3%BCrth-elektronik/696211001102/7244564" TargetMode="External"/><Relationship Id="rId124" Type="http://schemas.openxmlformats.org/officeDocument/2006/relationships/table" Target="../tables/table1.xml"/><Relationship Id="rId20" Type="http://schemas.openxmlformats.org/officeDocument/2006/relationships/hyperlink" Target="https://elmwoodelectronics.ca/products/9238" TargetMode="External"/><Relationship Id="rId41" Type="http://schemas.openxmlformats.org/officeDocument/2006/relationships/hyperlink" Target="https://elmwoodelectronics.ca/products/small-dual-row-wire-housing-pack-for-diy-jumper-cables" TargetMode="External"/><Relationship Id="rId54" Type="http://schemas.openxmlformats.org/officeDocument/2006/relationships/hyperlink" Target="https://www.pololu.com/account/view_salesorder/1J335359?s=fa90adff" TargetMode="External"/><Relationship Id="rId62" Type="http://schemas.openxmlformats.org/officeDocument/2006/relationships/hyperlink" Target="https://elmwoodelectronics.ca/products/automotive-gauge-stepper-motor" TargetMode="External"/><Relationship Id="rId70" Type="http://schemas.openxmlformats.org/officeDocument/2006/relationships/hyperlink" Target="https://elmwoodelectronics.ca/products/automotive-gauge-stepper-motor" TargetMode="External"/><Relationship Id="rId75" Type="http://schemas.openxmlformats.org/officeDocument/2006/relationships/hyperlink" Target="https://elmwoodelectronics.ca/products/100-led-assortment" TargetMode="External"/><Relationship Id="rId83" Type="http://schemas.openxmlformats.org/officeDocument/2006/relationships/hyperlink" Target="https://www.adafruit.com/product/2174" TargetMode="External"/><Relationship Id="rId88" Type="http://schemas.openxmlformats.org/officeDocument/2006/relationships/hyperlink" Target="https://www.digikey.ca/product-detail/en/electroswitch/7162C/451-1166-ND/2679549" TargetMode="External"/><Relationship Id="rId91" Type="http://schemas.openxmlformats.org/officeDocument/2006/relationships/hyperlink" Target="https://www.sparkfun.com/products/9276" TargetMode="External"/><Relationship Id="rId96" Type="http://schemas.openxmlformats.org/officeDocument/2006/relationships/hyperlink" Target="https://www.tindie.com/products/propwashsim/vid6606-4x-stepper-driver-board/" TargetMode="External"/><Relationship Id="rId111" Type="http://schemas.openxmlformats.org/officeDocument/2006/relationships/hyperlink" Target="https://www.sparkfun.com/products/12158" TargetMode="External"/><Relationship Id="rId1" Type="http://schemas.openxmlformats.org/officeDocument/2006/relationships/hyperlink" Target="https://www.adafruit.com/product/1476" TargetMode="External"/><Relationship Id="rId6" Type="http://schemas.openxmlformats.org/officeDocument/2006/relationships/hyperlink" Target="https://elmwoodelectronics.ca/products/16mm-illuminated-pushbutton-yellow-momentary" TargetMode="External"/><Relationship Id="rId15" Type="http://schemas.openxmlformats.org/officeDocument/2006/relationships/hyperlink" Target="https://www.ebay.ca/itm/12V-Metal-Toggle-Flick-Switch-ON-OFF-ON-Car-Boat-Dash-Light-3-Position-SP3T-/361502103461?rsta=en_CA(en_CA)&amp;cnac=CA&amp;mail=sys&amp;e=op&amp;unp_tpcid=email-receipt-auction-payment&amp;ppid=PPX000608&amp;calf=5cd9c2ed450d2&amp;calc=5cd9c2ed450d2&amp;pgrp=mai" TargetMode="External"/><Relationship Id="rId23" Type="http://schemas.openxmlformats.org/officeDocument/2006/relationships/hyperlink" Target="https://www.adafruit.com/product/562" TargetMode="External"/><Relationship Id="rId28" Type="http://schemas.openxmlformats.org/officeDocument/2006/relationships/hyperlink" Target="https://elmwoodelectronics.ca/products/panel-volt-meter" TargetMode="External"/><Relationship Id="rId36" Type="http://schemas.openxmlformats.org/officeDocument/2006/relationships/hyperlink" Target="https://elmwoodelectronics.ca/products/aluminum-smt-heat-sinks-10-pack-0-25x0-25-x-0-15-tall" TargetMode="External"/><Relationship Id="rId49" Type="http://schemas.openxmlformats.org/officeDocument/2006/relationships/hyperlink" Target="https://elmwoodelectronics.ca/products/11723" TargetMode="External"/><Relationship Id="rId57" Type="http://schemas.openxmlformats.org/officeDocument/2006/relationships/hyperlink" Target="https://www.adafruit.com/product/2739" TargetMode="External"/><Relationship Id="rId106" Type="http://schemas.openxmlformats.org/officeDocument/2006/relationships/hyperlink" Target="https://elmwoodelectronics.ca/products/100-led-assortment" TargetMode="External"/><Relationship Id="rId114" Type="http://schemas.openxmlformats.org/officeDocument/2006/relationships/hyperlink" Target="https://www.adafruit.com/product/2174" TargetMode="External"/><Relationship Id="rId119" Type="http://schemas.openxmlformats.org/officeDocument/2006/relationships/hyperlink" Target="https://www.pololu.com/product/1930" TargetMode="External"/><Relationship Id="rId10" Type="http://schemas.openxmlformats.org/officeDocument/2006/relationships/hyperlink" Target="https://elmwoodelectronics.ca/products/illuminated-toggle-switch-with-cover-yellow" TargetMode="External"/><Relationship Id="rId31" Type="http://schemas.openxmlformats.org/officeDocument/2006/relationships/hyperlink" Target="https://www.adafruit.com/product/3310" TargetMode="External"/><Relationship Id="rId44" Type="http://schemas.openxmlformats.org/officeDocument/2006/relationships/hyperlink" Target="https://elmwoodelectronics.ca/products/large-dual-row-wire-housing-pack-for-diy-jumper-cables" TargetMode="External"/><Relationship Id="rId52" Type="http://schemas.openxmlformats.org/officeDocument/2006/relationships/hyperlink" Target="https://vod.ebay.ca/vod/FetchOrderDetails?transid=885606284025&amp;itemid=382086328207&amp;qu=2&amp;ul_noapp=true" TargetMode="External"/><Relationship Id="rId60" Type="http://schemas.openxmlformats.org/officeDocument/2006/relationships/hyperlink" Target="https://www.sparkfun.com/products/9276" TargetMode="External"/><Relationship Id="rId65" Type="http://schemas.openxmlformats.org/officeDocument/2006/relationships/hyperlink" Target="https://www.adafruit.com/product/2424" TargetMode="External"/><Relationship Id="rId73" Type="http://schemas.openxmlformats.org/officeDocument/2006/relationships/hyperlink" Target="https://www.adafruit.com/product/2174" TargetMode="External"/><Relationship Id="rId78" Type="http://schemas.openxmlformats.org/officeDocument/2006/relationships/hyperlink" Target="https://www.adafruit.com/product/2739" TargetMode="External"/><Relationship Id="rId81" Type="http://schemas.openxmlformats.org/officeDocument/2006/relationships/hyperlink" Target="https://elmwoodelectronics.ca/products/100-led-assortment" TargetMode="External"/><Relationship Id="rId86" Type="http://schemas.openxmlformats.org/officeDocument/2006/relationships/hyperlink" Target="https://elmwoodelectronics.ca/products/100-led-assortment" TargetMode="External"/><Relationship Id="rId94" Type="http://schemas.openxmlformats.org/officeDocument/2006/relationships/hyperlink" Target="https://elmwoodelectronics.ca/products/12779" TargetMode="External"/><Relationship Id="rId99" Type="http://schemas.openxmlformats.org/officeDocument/2006/relationships/hyperlink" Target="https://www.amazon.ca/Erayco-LM2596-Converter-3-0-40V-1-5-35V/dp/B07JNQFV7F/ref=sr_1_8?dchild=1&amp;keywords=12v+5v+dc+dc+converter&amp;qid=1602520202&amp;refinements=p_85%3A5690392011&amp;rnid=5690384011&amp;rps=1&amp;sr=8-8" TargetMode="External"/><Relationship Id="rId101" Type="http://schemas.openxmlformats.org/officeDocument/2006/relationships/hyperlink" Target="https://elmwoodelectronics.ca/products/adafruit-24-channel-12-bit-pwm-led-driver-spi-interface" TargetMode="External"/><Relationship Id="rId122" Type="http://schemas.openxmlformats.org/officeDocument/2006/relationships/hyperlink" Target="https://www.sparkfun.com/arduino-nano-every.html" TargetMode="External"/><Relationship Id="rId4" Type="http://schemas.openxmlformats.org/officeDocument/2006/relationships/hyperlink" Target="https://elmwoodelectronics.ca/products/16mm-illuminated-pushbutton-red-momentary" TargetMode="External"/><Relationship Id="rId9" Type="http://schemas.openxmlformats.org/officeDocument/2006/relationships/hyperlink" Target="https://www.adafruit.com/product/3219" TargetMode="External"/><Relationship Id="rId13" Type="http://schemas.openxmlformats.org/officeDocument/2006/relationships/hyperlink" Target="https://www.adafruit.com/product/1439" TargetMode="External"/><Relationship Id="rId18" Type="http://schemas.openxmlformats.org/officeDocument/2006/relationships/hyperlink" Target="https://www.tindie.com/products/propwashsim/vid6606-4x-stepper-driver-board/" TargetMode="External"/><Relationship Id="rId39" Type="http://schemas.openxmlformats.org/officeDocument/2006/relationships/hyperlink" Target="https://elmwoodelectronics.ca/products/large-single-row-housing-pack-for-diy-jumper-cables" TargetMode="External"/><Relationship Id="rId109" Type="http://schemas.openxmlformats.org/officeDocument/2006/relationships/hyperlink" Target="https://www.adafruit.com/product/2174" TargetMode="External"/><Relationship Id="rId34" Type="http://schemas.openxmlformats.org/officeDocument/2006/relationships/hyperlink" Target="https://elmwoodelectronics.ca/products/panel-mount-usb-cable-b-male-to-b-female" TargetMode="External"/><Relationship Id="rId50" Type="http://schemas.openxmlformats.org/officeDocument/2006/relationships/hyperlink" Target="https://www.ebay.ca/itm/310827399171" TargetMode="External"/><Relationship Id="rId55" Type="http://schemas.openxmlformats.org/officeDocument/2006/relationships/hyperlink" Target="https://www.adafruit.com/product/2424" TargetMode="External"/><Relationship Id="rId76" Type="http://schemas.openxmlformats.org/officeDocument/2006/relationships/hyperlink" Target="https://elmwoodelectronics.ca/products/100-led-assortment" TargetMode="External"/><Relationship Id="rId97" Type="http://schemas.openxmlformats.org/officeDocument/2006/relationships/hyperlink" Target="https://www.digikey.ca/product-detail/en/kingbright/BA56-12GWA/754-1656-5-ND/3084327" TargetMode="External"/><Relationship Id="rId104" Type="http://schemas.openxmlformats.org/officeDocument/2006/relationships/hyperlink" Target="https://elmwoodelectronics.ca/products/9276" TargetMode="External"/><Relationship Id="rId120" Type="http://schemas.openxmlformats.org/officeDocument/2006/relationships/hyperlink" Target="https://www.pololu.com/product/1929" TargetMode="External"/><Relationship Id="rId7" Type="http://schemas.openxmlformats.org/officeDocument/2006/relationships/hyperlink" Target="https://elmwoodelectronics.ca/products/panel-mount-10k-potentiometer-breadboard-friendly" TargetMode="External"/><Relationship Id="rId71" Type="http://schemas.openxmlformats.org/officeDocument/2006/relationships/hyperlink" Target="https://www.adafruit.com/product/2739" TargetMode="External"/><Relationship Id="rId92" Type="http://schemas.openxmlformats.org/officeDocument/2006/relationships/hyperlink" Target="https://www.ebay.ca/myb/PurchaseHistory?_trksid=p2055359.m2034.l3391" TargetMode="External"/><Relationship Id="rId2" Type="http://schemas.openxmlformats.org/officeDocument/2006/relationships/hyperlink" Target="https://elmwoodelectronics.ca/products/16mm-illuminated-pushbutton-blue-latching-on-off-switch" TargetMode="External"/><Relationship Id="rId29" Type="http://schemas.openxmlformats.org/officeDocument/2006/relationships/hyperlink" Target="https://elmwoodelectronics.ca/products/panel-mount-2-1mm-dc-barrel-jack" TargetMode="External"/><Relationship Id="rId24" Type="http://schemas.openxmlformats.org/officeDocument/2006/relationships/hyperlink" Target="https://elmwoodelectronics.ca/products/panel-mount-10k-potentiometer-breadboard-friendly" TargetMode="External"/><Relationship Id="rId40" Type="http://schemas.openxmlformats.org/officeDocument/2006/relationships/hyperlink" Target="https://www.adafruit.com/product/3146" TargetMode="External"/><Relationship Id="rId45" Type="http://schemas.openxmlformats.org/officeDocument/2006/relationships/hyperlink" Target="https://www.adafruit.com/product/3144" TargetMode="External"/><Relationship Id="rId66" Type="http://schemas.openxmlformats.org/officeDocument/2006/relationships/hyperlink" Target="https://elmwoodelectronics.ca/products/automotive-gauge-stepper-motor" TargetMode="External"/><Relationship Id="rId87" Type="http://schemas.openxmlformats.org/officeDocument/2006/relationships/hyperlink" Target="https://www.adafruit.com/product/2174" TargetMode="External"/><Relationship Id="rId110" Type="http://schemas.openxmlformats.org/officeDocument/2006/relationships/hyperlink" Target="https://elmwoodelectronics.ca/products/100-led-assortment" TargetMode="External"/><Relationship Id="rId115" Type="http://schemas.openxmlformats.org/officeDocument/2006/relationships/hyperlink" Target="https://elmwoodelectronics.ca/products/100-led-assortment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a/product-detail/en/keystone-electronics/611/36-611-ND/631427" TargetMode="External"/><Relationship Id="rId13" Type="http://schemas.openxmlformats.org/officeDocument/2006/relationships/hyperlink" Target="https://www.fastenal.ca/sku/MN2510000A40000?attributeName_0=Dia%2FThread+Size&amp;attributeValue_0=M3-0.5&amp;showAll=__Dia%2FThread+Size__" TargetMode="External"/><Relationship Id="rId18" Type="http://schemas.openxmlformats.org/officeDocument/2006/relationships/hyperlink" Target="https://www.fastenal.ca/sku/36201?attributeName_0=Dia%2FThread+Size&amp;attributeValue_0=1%2F4%22-20" TargetMode="External"/><Relationship Id="rId3" Type="http://schemas.openxmlformats.org/officeDocument/2006/relationships/hyperlink" Target="https://www.fastenal.com/products/details/0170305" TargetMode="External"/><Relationship Id="rId21" Type="http://schemas.openxmlformats.org/officeDocument/2006/relationships/printerSettings" Target="../printerSettings/printerSettings2.bin"/><Relationship Id="rId7" Type="http://schemas.openxmlformats.org/officeDocument/2006/relationships/hyperlink" Target="https://www.fastenal.com/products/details/83041" TargetMode="External"/><Relationship Id="rId12" Type="http://schemas.openxmlformats.org/officeDocument/2006/relationships/hyperlink" Target="https://www.fastenal.ca/sku/XM2510016A20000?attributeName_0=Length&amp;attributeValue_0=16mm&amp;attributeName_1=Dia%2FThread+Size&amp;attributeValue_1=M3-0.5&amp;showAll=__Dia%2FThread+Size__Length__" TargetMode="External"/><Relationship Id="rId17" Type="http://schemas.openxmlformats.org/officeDocument/2006/relationships/hyperlink" Target="https://www.fastenal.ca/sku/29446" TargetMode="External"/><Relationship Id="rId25" Type="http://schemas.openxmlformats.org/officeDocument/2006/relationships/comments" Target="../comments1.xml"/><Relationship Id="rId2" Type="http://schemas.openxmlformats.org/officeDocument/2006/relationships/hyperlink" Target="https://www.fastenal.com/products/details/36008" TargetMode="External"/><Relationship Id="rId16" Type="http://schemas.openxmlformats.org/officeDocument/2006/relationships/hyperlink" Target="https://www.fastenal.ca/sku/47057?attributeName_0=Dia%2FThread+Size&amp;attributeValue_0=1%2F4%22-20&amp;pm=23392&amp;catId=600173&amp;query=threaded+rod" TargetMode="External"/><Relationship Id="rId20" Type="http://schemas.openxmlformats.org/officeDocument/2006/relationships/hyperlink" Target="https://www.fastenal.ca/sku/91185?attributeName_0=Head&amp;attributeValue_0=Pan&amp;attributeName_1=Length&amp;attributeValue_1=4mm&amp;attributeName_2=Dia%2FThread+Size&amp;attributeValue_2=M3-0.5&amp;pm=21356&amp;catId=600059&amp;showAll=__Dia%2FThread+Size__" TargetMode="External"/><Relationship Id="rId1" Type="http://schemas.openxmlformats.org/officeDocument/2006/relationships/hyperlink" Target="https://www.fastenal.com/products/details/24160" TargetMode="External"/><Relationship Id="rId6" Type="http://schemas.openxmlformats.org/officeDocument/2006/relationships/hyperlink" Target="https://www.fastenal.com/products/details/29375" TargetMode="External"/><Relationship Id="rId11" Type="http://schemas.openxmlformats.org/officeDocument/2006/relationships/hyperlink" Target="https://www.fastenal.ca/sku/0148194?attributeName_0=Dia%2FThread+Size&amp;attributeValue_0=%238-32&amp;showAll=__Dia%2FThread+Size__" TargetMode="External"/><Relationship Id="rId24" Type="http://schemas.openxmlformats.org/officeDocument/2006/relationships/table" Target="../tables/table2.xml"/><Relationship Id="rId5" Type="http://schemas.openxmlformats.org/officeDocument/2006/relationships/hyperlink" Target="https://www.fastenal.com/products/details/0145976" TargetMode="External"/><Relationship Id="rId15" Type="http://schemas.openxmlformats.org/officeDocument/2006/relationships/hyperlink" Target="https://www.fastenal.ca/sku/72637?attributeName_0=Length&amp;attributeValue_0=5%2F16%22&amp;attributeName_1=Dia%2FThread+Size&amp;attributeValue_1=%238-32&amp;showAll=__Dia%2FThread+Size__Length__" TargetMode="External"/><Relationship Id="rId23" Type="http://schemas.openxmlformats.org/officeDocument/2006/relationships/vmlDrawing" Target="../drawings/vmlDrawing1.vml"/><Relationship Id="rId10" Type="http://schemas.openxmlformats.org/officeDocument/2006/relationships/hyperlink" Target="https://www.fastenal.ca/sku/91285?attributeName_0=Length&amp;attributeValue_0=6mm&amp;showAll=__Dia%2FThread+Size__" TargetMode="External"/><Relationship Id="rId19" Type="http://schemas.openxmlformats.org/officeDocument/2006/relationships/hyperlink" Target="https://www.fastenal.ca/sku/33078?attributeName_0=Bolt+Size&amp;attributeValue_0=1%2F4%22&amp;showAll=__Bolt+Size__&amp;query=washer" TargetMode="External"/><Relationship Id="rId4" Type="http://schemas.openxmlformats.org/officeDocument/2006/relationships/hyperlink" Target="https://www.fastenal.com/products/details/XM2510010A20000" TargetMode="External"/><Relationship Id="rId9" Type="http://schemas.openxmlformats.org/officeDocument/2006/relationships/hyperlink" Target="https://www.digikey.ca/product-detail/en/phoenix-contact/3240703/277-16294-ND/4461928" TargetMode="External"/><Relationship Id="rId14" Type="http://schemas.openxmlformats.org/officeDocument/2006/relationships/hyperlink" Target="https://www.fastenal.ca/sku/72640?attributeName_0=Length&amp;attributeValue_0=1%2F4%22&amp;attributeName_1=Dia%2FThread+Size&amp;attributeValue_1=%238-32&amp;showAll=__Dia%2FThread+Size__Length__" TargetMode="External"/><Relationship Id="rId22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7"/>
  <sheetViews>
    <sheetView zoomScale="110" zoomScaleNormal="110" workbookViewId="0">
      <pane ySplit="1" topLeftCell="A55" activePane="bottomLeft" state="frozen"/>
      <selection pane="bottomLeft" activeCell="G80" sqref="G80"/>
    </sheetView>
  </sheetViews>
  <sheetFormatPr defaultRowHeight="15"/>
  <cols>
    <col min="1" max="1" width="10.28515625" style="12" bestFit="1" customWidth="1"/>
    <col min="2" max="2" width="38" customWidth="1"/>
    <col min="3" max="3" width="5.7109375" customWidth="1"/>
    <col min="4" max="4" width="11.7109375" customWidth="1"/>
    <col min="5" max="5" width="10" customWidth="1"/>
    <col min="6" max="6" width="11.140625" bestFit="1" customWidth="1"/>
    <col min="7" max="7" width="10.5703125" style="148" customWidth="1"/>
    <col min="8" max="8" width="13.140625" style="10" customWidth="1"/>
    <col min="9" max="9" width="28.140625" customWidth="1"/>
    <col min="10" max="10" width="30.5703125" customWidth="1"/>
  </cols>
  <sheetData>
    <row r="1" spans="1:9">
      <c r="A1" s="16" t="s">
        <v>8</v>
      </c>
      <c r="B1" s="15" t="s">
        <v>0</v>
      </c>
      <c r="C1" s="16" t="s">
        <v>67</v>
      </c>
      <c r="D1" s="15" t="s">
        <v>10</v>
      </c>
      <c r="E1" s="15" t="s">
        <v>11</v>
      </c>
      <c r="F1" s="15" t="s">
        <v>12</v>
      </c>
      <c r="G1" s="157" t="s">
        <v>13</v>
      </c>
      <c r="H1" s="16" t="s">
        <v>17</v>
      </c>
      <c r="I1" s="15" t="s">
        <v>65</v>
      </c>
    </row>
    <row r="2" spans="1:9">
      <c r="A2" s="11" t="s">
        <v>20</v>
      </c>
      <c r="B2" s="4" t="s">
        <v>719</v>
      </c>
      <c r="C2" s="4">
        <v>0</v>
      </c>
      <c r="D2" t="s">
        <v>718</v>
      </c>
      <c r="E2" s="21"/>
      <c r="F2" s="22">
        <v>1881.94</v>
      </c>
      <c r="G2" s="22"/>
      <c r="H2" s="151">
        <f>Table2[[#This Row],[CAD]]*Table2[[#This Row],[ '#]] + Table2[[#This Row],[USD]]*Table2[[#This Row],[ '#]]*ExchangeRate</f>
        <v>0</v>
      </c>
      <c r="I2" t="s">
        <v>742</v>
      </c>
    </row>
    <row r="3" spans="1:9">
      <c r="A3" s="11" t="s">
        <v>9</v>
      </c>
      <c r="B3" s="4" t="s">
        <v>126</v>
      </c>
      <c r="C3" s="4">
        <v>1</v>
      </c>
      <c r="D3" s="21"/>
      <c r="E3" s="21" t="s">
        <v>3</v>
      </c>
      <c r="F3" s="22"/>
      <c r="G3" s="22">
        <v>12.99</v>
      </c>
      <c r="H3" s="151">
        <f>Table2[[#This Row],[CAD]]*Table2[[#This Row],[ '#]] + Table2[[#This Row],[USD]]*Table2[[#This Row],[ '#]]*ExchangeRate</f>
        <v>17.0169</v>
      </c>
      <c r="I3" s="4"/>
    </row>
    <row r="4" spans="1:9">
      <c r="A4" s="14" t="s">
        <v>9</v>
      </c>
      <c r="B4" s="4" t="s">
        <v>125</v>
      </c>
      <c r="C4" s="4">
        <v>1</v>
      </c>
      <c r="D4" s="21"/>
      <c r="E4" s="21" t="s">
        <v>3</v>
      </c>
      <c r="F4" s="22"/>
      <c r="G4" s="31">
        <v>12.99</v>
      </c>
      <c r="H4" s="151">
        <f>Table2[[#This Row],[CAD]]*Table2[[#This Row],[ '#]] + Table2[[#This Row],[USD]]*Table2[[#This Row],[ '#]]*ExchangeRate</f>
        <v>17.0169</v>
      </c>
      <c r="I4" s="4"/>
    </row>
    <row r="5" spans="1:9">
      <c r="A5" s="14" t="s">
        <v>9</v>
      </c>
      <c r="B5" s="17" t="s">
        <v>689</v>
      </c>
      <c r="C5" s="3">
        <v>1</v>
      </c>
      <c r="D5" s="5" t="s">
        <v>6</v>
      </c>
      <c r="E5" s="5" t="s">
        <v>2</v>
      </c>
      <c r="F5" s="6">
        <v>4.99</v>
      </c>
      <c r="G5" s="6"/>
      <c r="H5" s="151">
        <f>Table2[[#This Row],[CAD]]*Table2[[#This Row],[ '#]] + Table2[[#This Row],[USD]]*Table2[[#This Row],[ '#]]*ExchangeRate</f>
        <v>4.99</v>
      </c>
      <c r="I5" s="3" t="s">
        <v>690</v>
      </c>
    </row>
    <row r="6" spans="1:9">
      <c r="A6" s="14" t="s">
        <v>9</v>
      </c>
      <c r="B6" s="17" t="s">
        <v>679</v>
      </c>
      <c r="C6" s="3">
        <v>1</v>
      </c>
      <c r="D6" s="5" t="s">
        <v>6</v>
      </c>
      <c r="E6" s="5" t="s">
        <v>2</v>
      </c>
      <c r="F6" s="6">
        <v>3.79</v>
      </c>
      <c r="G6" s="6"/>
      <c r="H6" s="151">
        <f>Table2[[#This Row],[CAD]]*Table2[[#This Row],[ '#]] + Table2[[#This Row],[USD]]*Table2[[#This Row],[ '#]]*ExchangeRate</f>
        <v>3.79</v>
      </c>
      <c r="I6" s="4" t="s">
        <v>690</v>
      </c>
    </row>
    <row r="7" spans="1:9">
      <c r="A7" s="14" t="s">
        <v>9</v>
      </c>
      <c r="B7" s="17" t="s">
        <v>15</v>
      </c>
      <c r="C7" s="3">
        <v>1</v>
      </c>
      <c r="D7" s="5" t="s">
        <v>6</v>
      </c>
      <c r="E7" s="5" t="s">
        <v>2</v>
      </c>
      <c r="F7" s="6">
        <v>3.49</v>
      </c>
      <c r="G7" s="6"/>
      <c r="H7" s="151">
        <f>Table2[[#This Row],[CAD]]*Table2[[#This Row],[ '#]] + Table2[[#This Row],[USD]]*Table2[[#This Row],[ '#]]*ExchangeRate</f>
        <v>3.49</v>
      </c>
      <c r="I7" s="3"/>
    </row>
    <row r="8" spans="1:9">
      <c r="A8" s="14" t="s">
        <v>9</v>
      </c>
      <c r="B8" s="17" t="s">
        <v>680</v>
      </c>
      <c r="C8" s="3">
        <v>1</v>
      </c>
      <c r="D8" s="5" t="s">
        <v>6</v>
      </c>
      <c r="E8" s="5" t="s">
        <v>2</v>
      </c>
      <c r="F8" s="6">
        <v>4.59</v>
      </c>
      <c r="G8" s="6"/>
      <c r="H8" s="151">
        <f>Table2[[#This Row],[CAD]]*Table2[[#This Row],[ '#]] + Table2[[#This Row],[USD]]*Table2[[#This Row],[ '#]]*ExchangeRate</f>
        <v>4.59</v>
      </c>
      <c r="I8" s="3" t="s">
        <v>306</v>
      </c>
    </row>
    <row r="9" spans="1:9">
      <c r="A9" s="14" t="s">
        <v>9</v>
      </c>
      <c r="B9" s="13" t="s">
        <v>681</v>
      </c>
      <c r="C9" s="3">
        <v>1</v>
      </c>
      <c r="D9" s="5" t="s">
        <v>6</v>
      </c>
      <c r="E9" s="5" t="s">
        <v>2</v>
      </c>
      <c r="F9" s="6">
        <v>3.79</v>
      </c>
      <c r="G9" s="6"/>
      <c r="H9" s="151">
        <f>Table2[[#This Row],[CAD]]*Table2[[#This Row],[ '#]] + Table2[[#This Row],[USD]]*Table2[[#This Row],[ '#]]*ExchangeRate</f>
        <v>3.79</v>
      </c>
      <c r="I9" s="3" t="s">
        <v>70</v>
      </c>
    </row>
    <row r="10" spans="1:9">
      <c r="A10" s="14" t="s">
        <v>9</v>
      </c>
      <c r="B10" s="13" t="s">
        <v>714</v>
      </c>
      <c r="C10" s="150">
        <v>4</v>
      </c>
      <c r="D10" t="s">
        <v>715</v>
      </c>
      <c r="E10" s="5"/>
      <c r="F10" s="6">
        <f>2.49/2*1.05</f>
        <v>1.3072500000000002</v>
      </c>
      <c r="G10" s="29"/>
      <c r="H10" s="151">
        <f>Table2[[#This Row],[CAD]]*Table2[[#This Row],[ '#]] + Table2[[#This Row],[USD]]*Table2[[#This Row],[ '#]]*ExchangeRate</f>
        <v>5.229000000000001</v>
      </c>
      <c r="I10" s="3" t="s">
        <v>306</v>
      </c>
    </row>
    <row r="11" spans="1:9">
      <c r="A11" s="14" t="s">
        <v>9</v>
      </c>
      <c r="B11" s="13" t="s">
        <v>717</v>
      </c>
      <c r="C11" s="150">
        <v>1</v>
      </c>
      <c r="D11" t="s">
        <v>715</v>
      </c>
      <c r="E11" s="5"/>
      <c r="F11" s="6">
        <f>6.99*1.05</f>
        <v>7.3395000000000001</v>
      </c>
      <c r="G11" s="29"/>
      <c r="H11" s="151">
        <f>Table2[[#This Row],[CAD]]*Table2[[#This Row],[ '#]] + Table2[[#This Row],[USD]]*Table2[[#This Row],[ '#]]*ExchangeRate</f>
        <v>7.3395000000000001</v>
      </c>
      <c r="I11" s="3" t="s">
        <v>306</v>
      </c>
    </row>
    <row r="12" spans="1:9">
      <c r="A12" s="14" t="s">
        <v>9</v>
      </c>
      <c r="B12" s="13" t="s">
        <v>706</v>
      </c>
      <c r="C12" s="17">
        <v>2</v>
      </c>
      <c r="D12" t="s">
        <v>718</v>
      </c>
      <c r="E12" s="5"/>
      <c r="F12" s="6">
        <f>22.7*1.05</f>
        <v>23.835000000000001</v>
      </c>
      <c r="G12" s="6"/>
      <c r="H12" s="151">
        <f>Table2[[#This Row],[CAD]]*Table2[[#This Row],[ '#]] + Table2[[#This Row],[USD]]*Table2[[#This Row],[ '#]]*ExchangeRate</f>
        <v>47.67</v>
      </c>
      <c r="I12" s="3"/>
    </row>
    <row r="13" spans="1:9">
      <c r="A13" s="14" t="s">
        <v>9</v>
      </c>
      <c r="B13" s="13" t="s">
        <v>634</v>
      </c>
      <c r="C13" s="17">
        <v>1</v>
      </c>
      <c r="D13" t="s">
        <v>718</v>
      </c>
      <c r="E13" s="5"/>
      <c r="F13" s="6">
        <f>54.8*1.05</f>
        <v>57.54</v>
      </c>
      <c r="G13" s="6"/>
      <c r="H13" s="151">
        <f>Table2[[#This Row],[CAD]]*Table2[[#This Row],[ '#]] + Table2[[#This Row],[USD]]*Table2[[#This Row],[ '#]]*ExchangeRate</f>
        <v>57.54</v>
      </c>
      <c r="I13" s="3"/>
    </row>
    <row r="14" spans="1:9">
      <c r="A14" s="14" t="s">
        <v>16</v>
      </c>
      <c r="B14" s="17" t="s">
        <v>688</v>
      </c>
      <c r="C14" s="3">
        <v>1</v>
      </c>
      <c r="D14" s="5" t="s">
        <v>6</v>
      </c>
      <c r="E14" s="5" t="s">
        <v>2</v>
      </c>
      <c r="F14" s="6">
        <v>4.99</v>
      </c>
      <c r="G14" s="6"/>
      <c r="H14" s="151">
        <f>Table2[[#This Row],[CAD]]*Table2[[#This Row],[ '#]] + Table2[[#This Row],[USD]]*Table2[[#This Row],[ '#]]*ExchangeRate</f>
        <v>4.99</v>
      </c>
      <c r="I14" s="3" t="s">
        <v>69</v>
      </c>
    </row>
    <row r="15" spans="1:9">
      <c r="A15" s="14" t="s">
        <v>16</v>
      </c>
      <c r="B15" s="13" t="s">
        <v>681</v>
      </c>
      <c r="C15" s="3">
        <v>1</v>
      </c>
      <c r="D15" s="5" t="s">
        <v>6</v>
      </c>
      <c r="E15" s="5" t="s">
        <v>2</v>
      </c>
      <c r="F15" s="6">
        <v>3.79</v>
      </c>
      <c r="G15" s="6"/>
      <c r="H15" s="151">
        <f>Table2[[#This Row],[CAD]]*Table2[[#This Row],[ '#]] + Table2[[#This Row],[USD]]*Table2[[#This Row],[ '#]]*ExchangeRate</f>
        <v>3.79</v>
      </c>
      <c r="I15" s="3" t="s">
        <v>69</v>
      </c>
    </row>
    <row r="16" spans="1:9">
      <c r="A16" s="14" t="s">
        <v>16</v>
      </c>
      <c r="B16" s="13" t="s">
        <v>18</v>
      </c>
      <c r="C16" s="4">
        <v>1</v>
      </c>
      <c r="D16" s="5"/>
      <c r="E16" s="5" t="s">
        <v>19</v>
      </c>
      <c r="F16" s="6"/>
      <c r="G16" s="22">
        <v>13.59</v>
      </c>
      <c r="H16" s="151">
        <f>Table2[[#This Row],[CAD]]*Table2[[#This Row],[ '#]] + Table2[[#This Row],[USD]]*Table2[[#This Row],[ '#]]*ExchangeRate</f>
        <v>17.802900000000001</v>
      </c>
      <c r="I16" s="3"/>
    </row>
    <row r="17" spans="1:9">
      <c r="A17" s="14" t="s">
        <v>16</v>
      </c>
      <c r="B17" s="17" t="s">
        <v>36</v>
      </c>
      <c r="C17" s="3">
        <v>1</v>
      </c>
      <c r="D17" s="5" t="s">
        <v>6</v>
      </c>
      <c r="E17" s="5" t="s">
        <v>2</v>
      </c>
      <c r="F17" s="6">
        <v>11.99</v>
      </c>
      <c r="G17" s="6"/>
      <c r="H17" s="151">
        <f>Table2[[#This Row],[CAD]]*Table2[[#This Row],[ '#]] + Table2[[#This Row],[USD]]*Table2[[#This Row],[ '#]]*ExchangeRate</f>
        <v>11.99</v>
      </c>
      <c r="I17" s="3"/>
    </row>
    <row r="18" spans="1:9">
      <c r="A18" s="14" t="s">
        <v>16</v>
      </c>
      <c r="B18" s="17" t="s">
        <v>682</v>
      </c>
      <c r="C18" s="3">
        <v>2</v>
      </c>
      <c r="D18" s="5" t="s">
        <v>51</v>
      </c>
      <c r="E18" s="5"/>
      <c r="F18" s="6">
        <v>2.44</v>
      </c>
      <c r="G18" s="6"/>
      <c r="H18" s="151">
        <f>Table2[[#This Row],[CAD]]*Table2[[#This Row],[ '#]] + Table2[[#This Row],[USD]]*Table2[[#This Row],[ '#]]*ExchangeRate</f>
        <v>4.88</v>
      </c>
      <c r="I18" s="3" t="s">
        <v>618</v>
      </c>
    </row>
    <row r="19" spans="1:9">
      <c r="A19" s="14" t="s">
        <v>16</v>
      </c>
      <c r="B19" s="13" t="s">
        <v>68</v>
      </c>
      <c r="C19" s="3">
        <v>3</v>
      </c>
      <c r="D19" s="5" t="s">
        <v>6</v>
      </c>
      <c r="E19" s="5" t="s">
        <v>3</v>
      </c>
      <c r="F19" s="6">
        <v>2.99</v>
      </c>
      <c r="G19" s="6"/>
      <c r="H19" s="151">
        <f>Table2[[#This Row],[CAD]]*Table2[[#This Row],[ '#]] + Table2[[#This Row],[USD]]*Table2[[#This Row],[ '#]]*ExchangeRate</f>
        <v>8.9700000000000006</v>
      </c>
      <c r="I19" s="3" t="s">
        <v>622</v>
      </c>
    </row>
    <row r="20" spans="1:9">
      <c r="A20" s="14" t="s">
        <v>16</v>
      </c>
      <c r="B20" s="17" t="s">
        <v>77</v>
      </c>
      <c r="C20" s="3">
        <v>3</v>
      </c>
      <c r="D20" s="21" t="s">
        <v>6</v>
      </c>
      <c r="E20" s="21"/>
      <c r="F20" s="22">
        <f>8.99/100</f>
        <v>8.9900000000000008E-2</v>
      </c>
      <c r="G20" s="6"/>
      <c r="H20" s="151">
        <f>Table2[[#This Row],[CAD]]*Table2[[#This Row],[ '#]] + Table2[[#This Row],[USD]]*Table2[[#This Row],[ '#]]*ExchangeRate</f>
        <v>0.26970000000000005</v>
      </c>
      <c r="I20" s="3" t="s">
        <v>622</v>
      </c>
    </row>
    <row r="21" spans="1:9">
      <c r="A21" s="14" t="s">
        <v>16</v>
      </c>
      <c r="B21" s="17" t="s">
        <v>74</v>
      </c>
      <c r="C21" s="4">
        <v>3</v>
      </c>
      <c r="D21" s="5"/>
      <c r="E21" s="5" t="s">
        <v>2</v>
      </c>
      <c r="F21" s="6">
        <f>0.95/5</f>
        <v>0.19</v>
      </c>
      <c r="G21" s="6"/>
      <c r="H21" s="151">
        <f>Table2[[#This Row],[CAD]]*Table2[[#This Row],[ '#]] + Table2[[#This Row],[USD]]*Table2[[#This Row],[ '#]]*ExchangeRate</f>
        <v>0.57000000000000006</v>
      </c>
      <c r="I21" s="3"/>
    </row>
    <row r="22" spans="1:9">
      <c r="A22" s="14" t="s">
        <v>14</v>
      </c>
      <c r="B22" s="13" t="s">
        <v>66</v>
      </c>
      <c r="C22" s="3">
        <v>2</v>
      </c>
      <c r="D22" s="21" t="s">
        <v>6</v>
      </c>
      <c r="E22" s="21" t="s">
        <v>2</v>
      </c>
      <c r="F22" s="22">
        <v>13.19</v>
      </c>
      <c r="G22" s="6"/>
      <c r="H22" s="151">
        <f>Table2[[#This Row],[CAD]]*Table2[[#This Row],[ '#]] + Table2[[#This Row],[USD]]*Table2[[#This Row],[ '#]]*ExchangeRate</f>
        <v>26.38</v>
      </c>
      <c r="I22" s="3"/>
    </row>
    <row r="23" spans="1:9">
      <c r="A23" s="14" t="s">
        <v>14</v>
      </c>
      <c r="B23" s="17" t="s">
        <v>73</v>
      </c>
      <c r="C23" s="3">
        <v>3</v>
      </c>
      <c r="D23" s="5" t="s">
        <v>6</v>
      </c>
      <c r="E23" s="5" t="s">
        <v>2</v>
      </c>
      <c r="F23" s="6">
        <f>8.99/10</f>
        <v>0.89900000000000002</v>
      </c>
      <c r="G23" s="6"/>
      <c r="H23" s="151">
        <f>Table2[[#This Row],[CAD]]*Table2[[#This Row],[ '#]] + Table2[[#This Row],[USD]]*Table2[[#This Row],[ '#]]*ExchangeRate</f>
        <v>2.6970000000000001</v>
      </c>
      <c r="I23" s="3"/>
    </row>
    <row r="24" spans="1:9">
      <c r="A24" s="14" t="s">
        <v>14</v>
      </c>
      <c r="B24" s="17" t="s">
        <v>734</v>
      </c>
      <c r="C24" s="17">
        <v>1</v>
      </c>
      <c r="D24" t="s">
        <v>718</v>
      </c>
      <c r="E24" s="5"/>
      <c r="F24" s="6">
        <f>70.85*1.05</f>
        <v>74.392499999999998</v>
      </c>
      <c r="G24" s="6"/>
      <c r="H24" s="151">
        <f>Table2[[#This Row],[CAD]]*Table2[[#This Row],[ '#]] + Table2[[#This Row],[USD]]*Table2[[#This Row],[ '#]]*ExchangeRate</f>
        <v>74.392499999999998</v>
      </c>
      <c r="I24" s="3"/>
    </row>
    <row r="25" spans="1:9">
      <c r="A25" s="14" t="s">
        <v>24</v>
      </c>
      <c r="B25" s="17" t="s">
        <v>75</v>
      </c>
      <c r="C25" s="3">
        <v>1</v>
      </c>
      <c r="D25" s="21" t="s">
        <v>6</v>
      </c>
      <c r="E25" s="21"/>
      <c r="F25" s="22">
        <f>8.99/100</f>
        <v>8.9900000000000008E-2</v>
      </c>
      <c r="G25" s="6"/>
      <c r="H25" s="151">
        <f>Table2[[#This Row],[CAD]]*Table2[[#This Row],[ '#]] + Table2[[#This Row],[USD]]*Table2[[#This Row],[ '#]]*ExchangeRate</f>
        <v>8.9900000000000008E-2</v>
      </c>
      <c r="I25" s="3" t="s">
        <v>623</v>
      </c>
    </row>
    <row r="26" spans="1:9">
      <c r="A26" s="14" t="s">
        <v>24</v>
      </c>
      <c r="B26" s="17" t="s">
        <v>76</v>
      </c>
      <c r="C26" s="3">
        <v>2</v>
      </c>
      <c r="D26" s="21" t="s">
        <v>6</v>
      </c>
      <c r="E26" s="21"/>
      <c r="F26" s="22">
        <f>8.99/100</f>
        <v>8.9900000000000008E-2</v>
      </c>
      <c r="G26" s="6"/>
      <c r="H26" s="151">
        <f>Table2[[#This Row],[CAD]]*Table2[[#This Row],[ '#]] + Table2[[#This Row],[USD]]*Table2[[#This Row],[ '#]]*ExchangeRate</f>
        <v>0.17980000000000002</v>
      </c>
      <c r="I26" s="3" t="s">
        <v>624</v>
      </c>
    </row>
    <row r="27" spans="1:9">
      <c r="A27" s="14" t="s">
        <v>24</v>
      </c>
      <c r="B27" s="17" t="s">
        <v>77</v>
      </c>
      <c r="C27" s="3">
        <v>2</v>
      </c>
      <c r="D27" s="21" t="s">
        <v>6</v>
      </c>
      <c r="E27" s="21"/>
      <c r="F27" s="22">
        <f>8.99/100</f>
        <v>8.9900000000000008E-2</v>
      </c>
      <c r="G27" s="6"/>
      <c r="H27" s="151">
        <f>Table2[[#This Row],[CAD]]*Table2[[#This Row],[ '#]] + Table2[[#This Row],[USD]]*Table2[[#This Row],[ '#]]*ExchangeRate</f>
        <v>0.17980000000000002</v>
      </c>
      <c r="I27" s="3" t="s">
        <v>627</v>
      </c>
    </row>
    <row r="28" spans="1:9">
      <c r="A28" s="14" t="s">
        <v>24</v>
      </c>
      <c r="B28" s="17" t="s">
        <v>78</v>
      </c>
      <c r="C28" s="3">
        <v>1</v>
      </c>
      <c r="D28" s="21" t="s">
        <v>6</v>
      </c>
      <c r="E28" s="21"/>
      <c r="F28" s="22">
        <f>8.99/100</f>
        <v>8.9900000000000008E-2</v>
      </c>
      <c r="G28" s="6"/>
      <c r="H28" s="151">
        <f>Table2[[#This Row],[CAD]]*Table2[[#This Row],[ '#]] + Table2[[#This Row],[USD]]*Table2[[#This Row],[ '#]]*ExchangeRate</f>
        <v>8.9900000000000008E-2</v>
      </c>
      <c r="I28" s="3" t="s">
        <v>70</v>
      </c>
    </row>
    <row r="29" spans="1:9">
      <c r="A29" s="14" t="s">
        <v>24</v>
      </c>
      <c r="B29" s="17" t="s">
        <v>80</v>
      </c>
      <c r="C29" s="150">
        <v>2</v>
      </c>
      <c r="D29" s="21" t="s">
        <v>6</v>
      </c>
      <c r="E29" s="21"/>
      <c r="F29" s="22">
        <f>8.99/100</f>
        <v>8.9900000000000008E-2</v>
      </c>
      <c r="G29" s="6"/>
      <c r="H29" s="151">
        <f>Table2[[#This Row],[CAD]]*Table2[[#This Row],[ '#]] + Table2[[#This Row],[USD]]*Table2[[#This Row],[ '#]]*ExchangeRate</f>
        <v>0.17980000000000002</v>
      </c>
      <c r="I29" s="3" t="s">
        <v>625</v>
      </c>
    </row>
    <row r="30" spans="1:9">
      <c r="A30" s="14" t="s">
        <v>24</v>
      </c>
      <c r="B30" s="17" t="s">
        <v>74</v>
      </c>
      <c r="C30" s="4">
        <v>7</v>
      </c>
      <c r="D30" s="5"/>
      <c r="E30" s="5" t="s">
        <v>2</v>
      </c>
      <c r="F30" s="6">
        <f>0.95/5</f>
        <v>0.19</v>
      </c>
      <c r="G30" s="6"/>
      <c r="H30" s="151">
        <f>Table2[[#This Row],[CAD]]*Table2[[#This Row],[ '#]] + Table2[[#This Row],[USD]]*Table2[[#This Row],[ '#]]*ExchangeRate</f>
        <v>1.33</v>
      </c>
      <c r="I30" s="3"/>
    </row>
    <row r="31" spans="1:9">
      <c r="A31" s="14" t="s">
        <v>24</v>
      </c>
      <c r="B31" s="13" t="s">
        <v>68</v>
      </c>
      <c r="C31" s="3">
        <v>7</v>
      </c>
      <c r="D31" s="5" t="s">
        <v>6</v>
      </c>
      <c r="E31" s="5" t="s">
        <v>3</v>
      </c>
      <c r="F31" s="6">
        <v>2.99</v>
      </c>
      <c r="G31" s="6"/>
      <c r="H31" s="151">
        <f>Table2[[#This Row],[CAD]]*Table2[[#This Row],[ '#]] + Table2[[#This Row],[USD]]*Table2[[#This Row],[ '#]]*ExchangeRate</f>
        <v>20.93</v>
      </c>
      <c r="I31" s="3"/>
    </row>
    <row r="32" spans="1:9">
      <c r="A32" s="14" t="s">
        <v>24</v>
      </c>
      <c r="B32" s="17" t="s">
        <v>682</v>
      </c>
      <c r="C32" s="3">
        <v>10</v>
      </c>
      <c r="D32" s="5" t="s">
        <v>51</v>
      </c>
      <c r="E32" s="5"/>
      <c r="F32" s="6">
        <v>2.44</v>
      </c>
      <c r="G32" s="6"/>
      <c r="H32" s="151">
        <f>Table2[[#This Row],[CAD]]*Table2[[#This Row],[ '#]] + Table2[[#This Row],[USD]]*Table2[[#This Row],[ '#]]*ExchangeRate</f>
        <v>24.4</v>
      </c>
      <c r="I32" s="3" t="s">
        <v>79</v>
      </c>
    </row>
    <row r="33" spans="1:9">
      <c r="A33" s="14" t="s">
        <v>24</v>
      </c>
      <c r="B33" s="17" t="s">
        <v>73</v>
      </c>
      <c r="C33" s="3">
        <v>9</v>
      </c>
      <c r="D33" s="5" t="s">
        <v>6</v>
      </c>
      <c r="E33" s="5" t="s">
        <v>2</v>
      </c>
      <c r="F33" s="6">
        <f>8.99/10</f>
        <v>0.89900000000000002</v>
      </c>
      <c r="G33" s="6"/>
      <c r="H33" s="151">
        <f>Table2[[#This Row],[CAD]]*Table2[[#This Row],[ '#]] + Table2[[#This Row],[USD]]*Table2[[#This Row],[ '#]]*ExchangeRate</f>
        <v>8.0910000000000011</v>
      </c>
      <c r="I33" s="3" t="s">
        <v>82</v>
      </c>
    </row>
    <row r="34" spans="1:9">
      <c r="A34" s="14" t="s">
        <v>24</v>
      </c>
      <c r="B34" s="17" t="s">
        <v>735</v>
      </c>
      <c r="C34" s="17">
        <v>1</v>
      </c>
      <c r="D34" t="s">
        <v>718</v>
      </c>
      <c r="E34" s="5"/>
      <c r="F34" s="6">
        <f>83.89*1.05</f>
        <v>88.084500000000006</v>
      </c>
      <c r="G34" s="6"/>
      <c r="H34" s="151">
        <f>Table2[[#This Row],[CAD]]*Table2[[#This Row],[ '#]] + Table2[[#This Row],[USD]]*Table2[[#This Row],[ '#]]*ExchangeRate</f>
        <v>88.084500000000006</v>
      </c>
      <c r="I34" s="3"/>
    </row>
    <row r="35" spans="1:9">
      <c r="A35" s="14" t="s">
        <v>23</v>
      </c>
      <c r="B35" s="17" t="s">
        <v>80</v>
      </c>
      <c r="C35" s="3">
        <v>3</v>
      </c>
      <c r="D35" s="21" t="s">
        <v>6</v>
      </c>
      <c r="E35" s="21"/>
      <c r="F35" s="167">
        <f>8.99/100</f>
        <v>8.9900000000000008E-2</v>
      </c>
      <c r="G35" s="6"/>
      <c r="H35" s="151">
        <f>Table2[[#This Row],[CAD]]*Table2[[#This Row],[ '#]] + Table2[[#This Row],[USD]]*Table2[[#This Row],[ '#]]*ExchangeRate</f>
        <v>0.26970000000000005</v>
      </c>
      <c r="I35" s="4" t="s">
        <v>81</v>
      </c>
    </row>
    <row r="36" spans="1:9">
      <c r="A36" s="14" t="s">
        <v>23</v>
      </c>
      <c r="B36" s="17" t="s">
        <v>78</v>
      </c>
      <c r="C36" s="3">
        <v>3</v>
      </c>
      <c r="D36" s="21" t="s">
        <v>6</v>
      </c>
      <c r="E36" s="21"/>
      <c r="F36" s="167">
        <f>8.99/100</f>
        <v>8.9900000000000008E-2</v>
      </c>
      <c r="G36" s="6"/>
      <c r="H36" s="151">
        <f>Table2[[#This Row],[CAD]]*Table2[[#This Row],[ '#]] + Table2[[#This Row],[USD]]*Table2[[#This Row],[ '#]]*ExchangeRate</f>
        <v>0.26970000000000005</v>
      </c>
      <c r="I36" s="4" t="s">
        <v>81</v>
      </c>
    </row>
    <row r="37" spans="1:9">
      <c r="A37" s="14" t="s">
        <v>23</v>
      </c>
      <c r="B37" s="17" t="s">
        <v>76</v>
      </c>
      <c r="C37" s="3">
        <v>11</v>
      </c>
      <c r="D37" s="21" t="s">
        <v>6</v>
      </c>
      <c r="E37" s="21"/>
      <c r="F37" s="167">
        <f>8.99/100</f>
        <v>8.9900000000000008E-2</v>
      </c>
      <c r="G37" s="6"/>
      <c r="H37" s="151">
        <f>Table2[[#This Row],[CAD]]*Table2[[#This Row],[ '#]] + Table2[[#This Row],[USD]]*Table2[[#This Row],[ '#]]*ExchangeRate</f>
        <v>0.98890000000000011</v>
      </c>
      <c r="I37" s="4" t="s">
        <v>691</v>
      </c>
    </row>
    <row r="38" spans="1:9">
      <c r="A38" s="14" t="s">
        <v>23</v>
      </c>
      <c r="B38" s="17" t="s">
        <v>74</v>
      </c>
      <c r="C38" s="4">
        <f>C37</f>
        <v>11</v>
      </c>
      <c r="D38" s="5"/>
      <c r="E38" s="5" t="s">
        <v>2</v>
      </c>
      <c r="F38" s="6">
        <f>0.95/5</f>
        <v>0.19</v>
      </c>
      <c r="G38" s="6"/>
      <c r="H38" s="151">
        <f>Table2[[#This Row],[CAD]]*Table2[[#This Row],[ '#]] + Table2[[#This Row],[USD]]*Table2[[#This Row],[ '#]]*ExchangeRate</f>
        <v>2.09</v>
      </c>
      <c r="I38" s="4"/>
    </row>
    <row r="39" spans="1:9">
      <c r="A39" s="14" t="s">
        <v>23</v>
      </c>
      <c r="B39" s="17" t="s">
        <v>88</v>
      </c>
      <c r="C39" s="4">
        <v>8</v>
      </c>
      <c r="D39" s="5" t="s">
        <v>51</v>
      </c>
      <c r="E39" s="5"/>
      <c r="F39" s="6">
        <v>6.0069999999999997</v>
      </c>
      <c r="G39" s="6"/>
      <c r="H39" s="151">
        <f>Table2[[#This Row],[CAD]]*Table2[[#This Row],[ '#]] + Table2[[#This Row],[USD]]*Table2[[#This Row],[ '#]]*ExchangeRate</f>
        <v>48.055999999999997</v>
      </c>
      <c r="I39" s="4"/>
    </row>
    <row r="40" spans="1:9">
      <c r="A40" s="14" t="s">
        <v>23</v>
      </c>
      <c r="B40" s="13" t="s">
        <v>87</v>
      </c>
      <c r="C40" s="4">
        <v>3</v>
      </c>
      <c r="D40" s="21" t="s">
        <v>19</v>
      </c>
      <c r="E40" s="26"/>
      <c r="F40" s="22">
        <v>1.79</v>
      </c>
      <c r="G40" s="23"/>
      <c r="H40" s="151">
        <f>Table2[[#This Row],[CAD]]*Table2[[#This Row],[ '#]] + Table2[[#This Row],[USD]]*Table2[[#This Row],[ '#]]*ExchangeRate</f>
        <v>5.37</v>
      </c>
      <c r="I40" s="3"/>
    </row>
    <row r="41" spans="1:9">
      <c r="A41" s="14" t="s">
        <v>23</v>
      </c>
      <c r="B41" s="13" t="s">
        <v>683</v>
      </c>
      <c r="C41" s="3">
        <v>2</v>
      </c>
      <c r="D41" s="21" t="s">
        <v>19</v>
      </c>
      <c r="E41" s="3"/>
      <c r="F41" s="6">
        <f>5.43/5</f>
        <v>1.0859999999999999</v>
      </c>
      <c r="G41" s="27"/>
      <c r="H41" s="151">
        <f>Table2[[#This Row],[CAD]]*Table2[[#This Row],[ '#]] + Table2[[#This Row],[USD]]*Table2[[#This Row],[ '#]]*ExchangeRate</f>
        <v>2.1719999999999997</v>
      </c>
      <c r="I41" s="3"/>
    </row>
    <row r="42" spans="1:9">
      <c r="A42" s="14" t="s">
        <v>23</v>
      </c>
      <c r="B42" s="13" t="s">
        <v>684</v>
      </c>
      <c r="C42" s="3">
        <v>1</v>
      </c>
      <c r="D42" s="5" t="s">
        <v>19</v>
      </c>
      <c r="E42" s="5"/>
      <c r="F42" s="6">
        <f>6.08/2</f>
        <v>3.04</v>
      </c>
      <c r="G42" s="6"/>
      <c r="H42" s="151">
        <f>Table2[[#This Row],[CAD]]*Table2[[#This Row],[ '#]] + Table2[[#This Row],[USD]]*Table2[[#This Row],[ '#]]*ExchangeRate</f>
        <v>3.04</v>
      </c>
      <c r="I42" s="3" t="s">
        <v>692</v>
      </c>
    </row>
    <row r="43" spans="1:9">
      <c r="A43" s="14" t="s">
        <v>23</v>
      </c>
      <c r="B43" s="13" t="s">
        <v>685</v>
      </c>
      <c r="C43" s="3">
        <v>1</v>
      </c>
      <c r="D43" s="5" t="s">
        <v>19</v>
      </c>
      <c r="E43" s="5"/>
      <c r="F43" s="6">
        <f>6.08/2</f>
        <v>3.04</v>
      </c>
      <c r="G43" s="6"/>
      <c r="H43" s="151">
        <f>Table2[[#This Row],[CAD]]*Table2[[#This Row],[ '#]] + Table2[[#This Row],[USD]]*Table2[[#This Row],[ '#]]*ExchangeRate</f>
        <v>3.04</v>
      </c>
      <c r="I43" s="3" t="s">
        <v>693</v>
      </c>
    </row>
    <row r="44" spans="1:9">
      <c r="A44" s="14" t="s">
        <v>23</v>
      </c>
      <c r="B44" s="17" t="s">
        <v>736</v>
      </c>
      <c r="C44" s="17">
        <v>1</v>
      </c>
      <c r="D44" t="s">
        <v>718</v>
      </c>
      <c r="E44" s="5"/>
      <c r="F44" s="6">
        <f>84.37*1.05</f>
        <v>88.58850000000001</v>
      </c>
      <c r="G44" s="6"/>
      <c r="H44" s="151">
        <f>Table2[[#This Row],[CAD]]*Table2[[#This Row],[ '#]] + Table2[[#This Row],[USD]]*Table2[[#This Row],[ '#]]*ExchangeRate</f>
        <v>88.58850000000001</v>
      </c>
      <c r="I44" s="3"/>
    </row>
    <row r="45" spans="1:9">
      <c r="A45" s="11" t="s">
        <v>25</v>
      </c>
      <c r="B45" s="17" t="s">
        <v>76</v>
      </c>
      <c r="C45" s="3">
        <v>1</v>
      </c>
      <c r="D45" s="21" t="s">
        <v>6</v>
      </c>
      <c r="E45" s="21"/>
      <c r="F45" s="167">
        <f>8.99/100</f>
        <v>8.9900000000000008E-2</v>
      </c>
      <c r="G45" s="6"/>
      <c r="H45" s="151">
        <f>Table2[[#This Row],[CAD]]*Table2[[#This Row],[ '#]] + Table2[[#This Row],[USD]]*Table2[[#This Row],[ '#]]*ExchangeRate</f>
        <v>8.9900000000000008E-2</v>
      </c>
      <c r="I45" s="4" t="s">
        <v>72</v>
      </c>
    </row>
    <row r="46" spans="1:9">
      <c r="A46" s="11" t="s">
        <v>25</v>
      </c>
      <c r="B46" s="17" t="s">
        <v>80</v>
      </c>
      <c r="C46" s="3">
        <v>1</v>
      </c>
      <c r="D46" s="21" t="s">
        <v>6</v>
      </c>
      <c r="E46" s="21"/>
      <c r="F46" s="22">
        <f>8.99/100</f>
        <v>8.9900000000000008E-2</v>
      </c>
      <c r="G46" s="6"/>
      <c r="H46" s="151">
        <f>Table2[[#This Row],[CAD]]*Table2[[#This Row],[ '#]] + Table2[[#This Row],[USD]]*Table2[[#This Row],[ '#]]*ExchangeRate</f>
        <v>8.9900000000000008E-2</v>
      </c>
      <c r="I46" s="4" t="s">
        <v>71</v>
      </c>
    </row>
    <row r="47" spans="1:9">
      <c r="A47" s="14" t="s">
        <v>25</v>
      </c>
      <c r="B47" s="17" t="s">
        <v>77</v>
      </c>
      <c r="C47" s="3">
        <v>1</v>
      </c>
      <c r="D47" s="21" t="s">
        <v>6</v>
      </c>
      <c r="E47" s="21"/>
      <c r="F47" s="22">
        <f>8.99/100</f>
        <v>8.9900000000000008E-2</v>
      </c>
      <c r="G47" s="29"/>
      <c r="H47" s="151">
        <f>Table2[[#This Row],[CAD]]*Table2[[#This Row],[ '#]] + Table2[[#This Row],[USD]]*Table2[[#This Row],[ '#]]*ExchangeRate</f>
        <v>8.9900000000000008E-2</v>
      </c>
      <c r="I47" s="4"/>
    </row>
    <row r="48" spans="1:9">
      <c r="A48" s="11" t="s">
        <v>25</v>
      </c>
      <c r="B48" s="17" t="s">
        <v>74</v>
      </c>
      <c r="C48" s="4">
        <f>SUM(C45:C47)</f>
        <v>3</v>
      </c>
      <c r="D48" s="5"/>
      <c r="E48" s="5" t="s">
        <v>2</v>
      </c>
      <c r="F48" s="6">
        <f>0.95/5</f>
        <v>0.19</v>
      </c>
      <c r="G48" s="6"/>
      <c r="H48" s="151">
        <f>Table2[[#This Row],[CAD]]*Table2[[#This Row],[ '#]] + Table2[[#This Row],[USD]]*Table2[[#This Row],[ '#]]*ExchangeRate</f>
        <v>0.57000000000000006</v>
      </c>
      <c r="I48" s="4"/>
    </row>
    <row r="49" spans="1:9">
      <c r="A49" s="14" t="s">
        <v>25</v>
      </c>
      <c r="B49" s="17" t="s">
        <v>694</v>
      </c>
      <c r="C49" s="153">
        <v>4</v>
      </c>
      <c r="D49" s="5"/>
      <c r="E49" s="5"/>
      <c r="F49" s="6">
        <v>0</v>
      </c>
      <c r="G49" s="29"/>
      <c r="H49" s="151">
        <f>Table2[[#This Row],[CAD]]*Table2[[#This Row],[ '#]] + Table2[[#This Row],[USD]]*Table2[[#This Row],[ '#]]*ExchangeRate</f>
        <v>0</v>
      </c>
      <c r="I49" s="13" t="s">
        <v>695</v>
      </c>
    </row>
    <row r="50" spans="1:9">
      <c r="A50" s="11" t="s">
        <v>25</v>
      </c>
      <c r="B50" s="13" t="s">
        <v>68</v>
      </c>
      <c r="C50" s="4">
        <v>2</v>
      </c>
      <c r="D50" s="5" t="s">
        <v>6</v>
      </c>
      <c r="E50" s="5" t="s">
        <v>3</v>
      </c>
      <c r="F50" s="6">
        <v>2.99</v>
      </c>
      <c r="G50" s="22"/>
      <c r="H50" s="151">
        <f>Table2[[#This Row],[CAD]]*Table2[[#This Row],[ '#]] + Table2[[#This Row],[USD]]*Table2[[#This Row],[ '#]]*ExchangeRate</f>
        <v>5.98</v>
      </c>
      <c r="I50" s="3" t="s">
        <v>72</v>
      </c>
    </row>
    <row r="51" spans="1:9">
      <c r="A51" s="11" t="s">
        <v>25</v>
      </c>
      <c r="B51" s="17" t="s">
        <v>88</v>
      </c>
      <c r="C51" s="3">
        <v>1</v>
      </c>
      <c r="D51" s="5" t="s">
        <v>51</v>
      </c>
      <c r="E51" s="5"/>
      <c r="F51" s="6">
        <v>6.0069999999999997</v>
      </c>
      <c r="G51" s="6"/>
      <c r="H51" s="151">
        <f>Table2[[#This Row],[CAD]]*Table2[[#This Row],[ '#]] + Table2[[#This Row],[USD]]*Table2[[#This Row],[ '#]]*ExchangeRate</f>
        <v>6.0069999999999997</v>
      </c>
      <c r="I51" s="3" t="s">
        <v>71</v>
      </c>
    </row>
    <row r="52" spans="1:9">
      <c r="A52" s="11" t="s">
        <v>25</v>
      </c>
      <c r="B52" s="13" t="s">
        <v>15</v>
      </c>
      <c r="C52" s="3">
        <v>1</v>
      </c>
      <c r="D52" s="5" t="s">
        <v>6</v>
      </c>
      <c r="E52" s="5" t="s">
        <v>2</v>
      </c>
      <c r="F52" s="6">
        <v>3.49</v>
      </c>
      <c r="G52" s="6"/>
      <c r="H52" s="151">
        <f>Table2[[#This Row],[CAD]]*Table2[[#This Row],[ '#]] + Table2[[#This Row],[USD]]*Table2[[#This Row],[ '#]]*ExchangeRate</f>
        <v>3.49</v>
      </c>
      <c r="I52" s="3"/>
    </row>
    <row r="53" spans="1:9">
      <c r="A53" s="11" t="s">
        <v>25</v>
      </c>
      <c r="B53" s="13" t="s">
        <v>5</v>
      </c>
      <c r="C53" s="3">
        <v>1</v>
      </c>
      <c r="D53" s="5" t="s">
        <v>6</v>
      </c>
      <c r="E53" s="5"/>
      <c r="F53" s="6">
        <v>3.99</v>
      </c>
      <c r="G53" s="6"/>
      <c r="H53" s="151">
        <f>Table2[[#This Row],[CAD]]*Table2[[#This Row],[ '#]] + Table2[[#This Row],[USD]]*Table2[[#This Row],[ '#]]*ExchangeRate</f>
        <v>3.99</v>
      </c>
      <c r="I53" s="3" t="s">
        <v>7</v>
      </c>
    </row>
    <row r="54" spans="1:9">
      <c r="A54" s="11" t="s">
        <v>25</v>
      </c>
      <c r="B54" s="17" t="s">
        <v>35</v>
      </c>
      <c r="C54" s="3">
        <v>1</v>
      </c>
      <c r="D54" s="5" t="s">
        <v>6</v>
      </c>
      <c r="E54" s="5" t="s">
        <v>2</v>
      </c>
      <c r="F54" s="6">
        <v>13.99</v>
      </c>
      <c r="G54" s="6"/>
      <c r="H54" s="151">
        <f>Table2[[#This Row],[CAD]]*Table2[[#This Row],[ '#]] + Table2[[#This Row],[USD]]*Table2[[#This Row],[ '#]]*ExchangeRate</f>
        <v>13.99</v>
      </c>
      <c r="I54" s="3"/>
    </row>
    <row r="55" spans="1:9">
      <c r="A55" s="11" t="s">
        <v>25</v>
      </c>
      <c r="B55" s="13" t="s">
        <v>86</v>
      </c>
      <c r="C55" s="3">
        <v>1</v>
      </c>
      <c r="D55" s="24"/>
      <c r="E55" s="25"/>
      <c r="F55" s="6">
        <v>0</v>
      </c>
      <c r="G55" s="20"/>
      <c r="H55" s="151">
        <f>Table2[[#This Row],[CAD]]*Table2[[#This Row],[ '#]] + Table2[[#This Row],[USD]]*Table2[[#This Row],[ '#]]*ExchangeRate</f>
        <v>0</v>
      </c>
      <c r="I55" s="3"/>
    </row>
    <row r="56" spans="1:9">
      <c r="A56" s="14" t="s">
        <v>25</v>
      </c>
      <c r="B56" s="17" t="s">
        <v>737</v>
      </c>
      <c r="C56" s="17">
        <v>1</v>
      </c>
      <c r="D56" t="s">
        <v>718</v>
      </c>
      <c r="E56" s="5"/>
      <c r="F56" s="6">
        <f>67.61*1.05</f>
        <v>70.990499999999997</v>
      </c>
      <c r="G56" s="6"/>
      <c r="H56" s="151">
        <f>Table2[[#This Row],[CAD]]*Table2[[#This Row],[ '#]] + Table2[[#This Row],[USD]]*Table2[[#This Row],[ '#]]*ExchangeRate</f>
        <v>70.990499999999997</v>
      </c>
      <c r="I56" s="3"/>
    </row>
    <row r="57" spans="1:9">
      <c r="A57" s="14" t="s">
        <v>22</v>
      </c>
      <c r="B57" s="13" t="s">
        <v>66</v>
      </c>
      <c r="C57" s="3">
        <v>2</v>
      </c>
      <c r="D57" s="21" t="s">
        <v>6</v>
      </c>
      <c r="E57" s="21" t="s">
        <v>2</v>
      </c>
      <c r="F57" s="22">
        <v>13.19</v>
      </c>
      <c r="G57" s="6"/>
      <c r="H57" s="151">
        <f>Table2[[#This Row],[CAD]]*Table2[[#This Row],[ '#]] + Table2[[#This Row],[USD]]*Table2[[#This Row],[ '#]]*ExchangeRate</f>
        <v>26.38</v>
      </c>
      <c r="I57" s="3"/>
    </row>
    <row r="58" spans="1:9">
      <c r="A58" s="14" t="s">
        <v>22</v>
      </c>
      <c r="B58" s="17" t="s">
        <v>75</v>
      </c>
      <c r="C58" s="3">
        <v>1</v>
      </c>
      <c r="D58" s="21" t="s">
        <v>6</v>
      </c>
      <c r="E58" s="21"/>
      <c r="F58" s="22">
        <f>8.99/100</f>
        <v>8.9900000000000008E-2</v>
      </c>
      <c r="G58" s="29"/>
      <c r="H58" s="151">
        <f>Table2[[#This Row],[CAD]]*Table2[[#This Row],[ '#]] + Table2[[#This Row],[USD]]*Table2[[#This Row],[ '#]]*ExchangeRate</f>
        <v>8.9900000000000008E-2</v>
      </c>
      <c r="I58" s="3" t="s">
        <v>630</v>
      </c>
    </row>
    <row r="59" spans="1:9">
      <c r="A59" s="14" t="s">
        <v>22</v>
      </c>
      <c r="B59" s="17" t="s">
        <v>74</v>
      </c>
      <c r="C59" s="4">
        <f>C58</f>
        <v>1</v>
      </c>
      <c r="D59" s="5"/>
      <c r="E59" s="5" t="s">
        <v>2</v>
      </c>
      <c r="F59" s="6">
        <f>0.95/5</f>
        <v>0.19</v>
      </c>
      <c r="G59" s="29"/>
      <c r="H59" s="151">
        <f>Table2[[#This Row],[CAD]]*Table2[[#This Row],[ '#]] + Table2[[#This Row],[USD]]*Table2[[#This Row],[ '#]]*ExchangeRate</f>
        <v>0.19</v>
      </c>
      <c r="I59" s="3"/>
    </row>
    <row r="60" spans="1:9">
      <c r="A60" s="14" t="s">
        <v>22</v>
      </c>
      <c r="B60" s="17" t="s">
        <v>98</v>
      </c>
      <c r="C60" s="3">
        <v>1</v>
      </c>
      <c r="D60" s="3"/>
      <c r="E60" s="19"/>
      <c r="F60" s="6">
        <v>0</v>
      </c>
      <c r="G60" s="29"/>
      <c r="H60" s="151">
        <f>Table2[[#This Row],[CAD]]*Table2[[#This Row],[ '#]] + Table2[[#This Row],[USD]]*Table2[[#This Row],[ '#]]*ExchangeRate</f>
        <v>0</v>
      </c>
      <c r="I60" s="3" t="s">
        <v>629</v>
      </c>
    </row>
    <row r="61" spans="1:9">
      <c r="A61" s="14" t="s">
        <v>22</v>
      </c>
      <c r="B61" s="17" t="s">
        <v>73</v>
      </c>
      <c r="C61" s="3">
        <v>3</v>
      </c>
      <c r="D61" s="5" t="s">
        <v>6</v>
      </c>
      <c r="E61" s="5" t="s">
        <v>2</v>
      </c>
      <c r="F61" s="6">
        <f>8.99/10</f>
        <v>0.89900000000000002</v>
      </c>
      <c r="G61" s="6"/>
      <c r="H61" s="151">
        <f>Table2[[#This Row],[CAD]]*Table2[[#This Row],[ '#]] + Table2[[#This Row],[USD]]*Table2[[#This Row],[ '#]]*ExchangeRate</f>
        <v>2.6970000000000001</v>
      </c>
      <c r="I61" s="4"/>
    </row>
    <row r="62" spans="1:9">
      <c r="A62" s="14" t="s">
        <v>22</v>
      </c>
      <c r="B62" s="13" t="s">
        <v>96</v>
      </c>
      <c r="C62" s="4">
        <v>1</v>
      </c>
      <c r="D62" s="21" t="s">
        <v>6</v>
      </c>
      <c r="E62" s="34" t="s">
        <v>3</v>
      </c>
      <c r="F62" s="22">
        <v>22.99</v>
      </c>
      <c r="G62" s="23"/>
      <c r="H62" s="151">
        <f>Table2[[#This Row],[CAD]]*Table2[[#This Row],[ '#]] + Table2[[#This Row],[USD]]*Table2[[#This Row],[ '#]]*ExchangeRate</f>
        <v>22.99</v>
      </c>
      <c r="I62" s="4" t="s">
        <v>95</v>
      </c>
    </row>
    <row r="63" spans="1:9">
      <c r="A63" s="14" t="s">
        <v>22</v>
      </c>
      <c r="B63" s="17" t="s">
        <v>738</v>
      </c>
      <c r="C63" s="17">
        <v>1</v>
      </c>
      <c r="D63" t="s">
        <v>718</v>
      </c>
      <c r="E63" s="5"/>
      <c r="F63" s="22">
        <f>72.67*1.05</f>
        <v>76.3035</v>
      </c>
      <c r="G63" s="22"/>
      <c r="H63" s="151">
        <f>Table2[[#This Row],[CAD]]*Table2[[#This Row],[ '#]] + Table2[[#This Row],[USD]]*Table2[[#This Row],[ '#]]*ExchangeRate</f>
        <v>76.3035</v>
      </c>
      <c r="I63" s="4"/>
    </row>
    <row r="64" spans="1:9">
      <c r="A64" s="14" t="s">
        <v>26</v>
      </c>
      <c r="B64" s="13" t="s">
        <v>686</v>
      </c>
      <c r="C64" s="3">
        <v>2</v>
      </c>
      <c r="D64" s="5" t="s">
        <v>19</v>
      </c>
      <c r="E64" s="5"/>
      <c r="F64" s="22">
        <f>5.49/2</f>
        <v>2.7450000000000001</v>
      </c>
      <c r="G64" s="6"/>
      <c r="H64" s="151">
        <f>Table2[[#This Row],[CAD]]*Table2[[#This Row],[ '#]] + Table2[[#This Row],[USD]]*Table2[[#This Row],[ '#]]*ExchangeRate</f>
        <v>5.49</v>
      </c>
      <c r="I64" s="3" t="s">
        <v>92</v>
      </c>
    </row>
    <row r="65" spans="1:9">
      <c r="A65" s="14" t="s">
        <v>26</v>
      </c>
      <c r="B65" s="13" t="s">
        <v>687</v>
      </c>
      <c r="C65" s="3">
        <v>4</v>
      </c>
      <c r="D65" s="5" t="s">
        <v>19</v>
      </c>
      <c r="E65" s="5"/>
      <c r="F65" s="22">
        <f>5.49/2</f>
        <v>2.7450000000000001</v>
      </c>
      <c r="G65" s="6"/>
      <c r="H65" s="151">
        <f>Table2[[#This Row],[CAD]]*Table2[[#This Row],[ '#]] + Table2[[#This Row],[USD]]*Table2[[#This Row],[ '#]]*ExchangeRate</f>
        <v>10.98</v>
      </c>
      <c r="I65" s="3" t="s">
        <v>92</v>
      </c>
    </row>
    <row r="66" spans="1:9">
      <c r="A66" s="14" t="s">
        <v>26</v>
      </c>
      <c r="B66" s="17" t="s">
        <v>739</v>
      </c>
      <c r="C66" s="17">
        <v>1</v>
      </c>
      <c r="D66" t="s">
        <v>718</v>
      </c>
      <c r="E66" s="5"/>
      <c r="F66" s="22">
        <f>72.21*1.05</f>
        <v>75.820499999999996</v>
      </c>
      <c r="G66" s="6"/>
      <c r="H66" s="151">
        <f>Table2[[#This Row],[CAD]]*Table2[[#This Row],[ '#]] + Table2[[#This Row],[USD]]*Table2[[#This Row],[ '#]]*ExchangeRate</f>
        <v>75.820499999999996</v>
      </c>
      <c r="I66" s="3"/>
    </row>
    <row r="67" spans="1:9">
      <c r="A67" s="14" t="s">
        <v>21</v>
      </c>
      <c r="B67" s="17" t="s">
        <v>98</v>
      </c>
      <c r="C67" s="3">
        <v>1</v>
      </c>
      <c r="D67" s="3"/>
      <c r="E67" s="19"/>
      <c r="F67" s="6">
        <v>0</v>
      </c>
      <c r="G67" s="20"/>
      <c r="H67" s="151">
        <f>Table2[[#This Row],[CAD]]*Table2[[#This Row],[ '#]] + Table2[[#This Row],[USD]]*Table2[[#This Row],[ '#]]*ExchangeRate</f>
        <v>0</v>
      </c>
      <c r="I67" s="3" t="s">
        <v>99</v>
      </c>
    </row>
    <row r="68" spans="1:9">
      <c r="A68" s="14" t="s">
        <v>21</v>
      </c>
      <c r="B68" s="17" t="s">
        <v>101</v>
      </c>
      <c r="C68" s="3">
        <v>1</v>
      </c>
      <c r="D68" s="3"/>
      <c r="E68" s="5" t="s">
        <v>2</v>
      </c>
      <c r="F68" s="6">
        <v>2</v>
      </c>
      <c r="G68" s="20"/>
      <c r="H68" s="151">
        <f>Table2[[#This Row],[CAD]]*Table2[[#This Row],[ '#]] + Table2[[#This Row],[USD]]*Table2[[#This Row],[ '#]]*ExchangeRate</f>
        <v>2</v>
      </c>
      <c r="I68" s="3" t="s">
        <v>100</v>
      </c>
    </row>
    <row r="69" spans="1:9">
      <c r="A69" s="14" t="s">
        <v>21</v>
      </c>
      <c r="B69" s="17" t="s">
        <v>74</v>
      </c>
      <c r="C69" s="4">
        <f>C68</f>
        <v>1</v>
      </c>
      <c r="D69" s="5"/>
      <c r="E69" s="5" t="s">
        <v>2</v>
      </c>
      <c r="F69" s="6">
        <f>0.95/5</f>
        <v>0.19</v>
      </c>
      <c r="G69" s="29"/>
      <c r="H69" s="151">
        <f>Table2[[#This Row],[CAD]]*Table2[[#This Row],[ '#]] + Table2[[#This Row],[USD]]*Table2[[#This Row],[ '#]]*ExchangeRate</f>
        <v>0.19</v>
      </c>
      <c r="I69" s="3"/>
    </row>
    <row r="70" spans="1:9">
      <c r="A70" s="14" t="s">
        <v>21</v>
      </c>
      <c r="B70" s="13" t="s">
        <v>66</v>
      </c>
      <c r="C70" s="3">
        <v>3</v>
      </c>
      <c r="D70" s="21" t="s">
        <v>6</v>
      </c>
      <c r="E70" s="21" t="s">
        <v>2</v>
      </c>
      <c r="F70" s="22">
        <v>13.19</v>
      </c>
      <c r="G70" s="6"/>
      <c r="H70" s="151">
        <f>Table2[[#This Row],[CAD]]*Table2[[#This Row],[ '#]] + Table2[[#This Row],[USD]]*Table2[[#This Row],[ '#]]*ExchangeRate</f>
        <v>39.57</v>
      </c>
      <c r="I70" s="3"/>
    </row>
    <row r="71" spans="1:9">
      <c r="A71" s="14" t="s">
        <v>21</v>
      </c>
      <c r="B71" s="17" t="s">
        <v>73</v>
      </c>
      <c r="C71" s="3">
        <v>4</v>
      </c>
      <c r="D71" s="5" t="s">
        <v>6</v>
      </c>
      <c r="E71" s="5" t="s">
        <v>2</v>
      </c>
      <c r="F71" s="6">
        <f>8.99/10</f>
        <v>0.89900000000000002</v>
      </c>
      <c r="G71" s="6"/>
      <c r="H71" s="151">
        <f>Table2[[#This Row],[CAD]]*Table2[[#This Row],[ '#]] + Table2[[#This Row],[USD]]*Table2[[#This Row],[ '#]]*ExchangeRate</f>
        <v>3.5960000000000001</v>
      </c>
      <c r="I71" s="3"/>
    </row>
    <row r="72" spans="1:9">
      <c r="A72" s="14" t="s">
        <v>21</v>
      </c>
      <c r="B72" s="17" t="s">
        <v>740</v>
      </c>
      <c r="C72" s="17">
        <v>1</v>
      </c>
      <c r="D72" t="s">
        <v>718</v>
      </c>
      <c r="E72" s="5"/>
      <c r="F72" s="6">
        <f>74.17*1.05</f>
        <v>77.878500000000003</v>
      </c>
      <c r="G72" s="6"/>
      <c r="H72" s="151">
        <f>Table2[[#This Row],[CAD]]*Table2[[#This Row],[ '#]] + Table2[[#This Row],[USD]]*Table2[[#This Row],[ '#]]*ExchangeRate</f>
        <v>77.878500000000003</v>
      </c>
      <c r="I72" s="3"/>
    </row>
    <row r="73" spans="1:9">
      <c r="A73" s="14" t="s">
        <v>315</v>
      </c>
      <c r="B73" s="17" t="s">
        <v>38</v>
      </c>
      <c r="C73" s="3">
        <v>1</v>
      </c>
      <c r="D73" s="5" t="s">
        <v>6</v>
      </c>
      <c r="E73" s="5" t="s">
        <v>2</v>
      </c>
      <c r="F73" s="6">
        <v>4.99</v>
      </c>
      <c r="G73" s="6"/>
      <c r="H73" s="151">
        <f>Table2[[#This Row],[CAD]]*Table2[[#This Row],[ '#]] + Table2[[#This Row],[USD]]*Table2[[#This Row],[ '#]]*ExchangeRate</f>
        <v>4.99</v>
      </c>
      <c r="I73" s="3"/>
    </row>
    <row r="74" spans="1:9">
      <c r="A74" s="14" t="s">
        <v>315</v>
      </c>
      <c r="B74" s="17" t="s">
        <v>39</v>
      </c>
      <c r="C74" s="3">
        <v>1</v>
      </c>
      <c r="D74" s="5" t="s">
        <v>6</v>
      </c>
      <c r="E74" s="5" t="s">
        <v>2</v>
      </c>
      <c r="F74" s="6">
        <v>2.99</v>
      </c>
      <c r="G74" s="6"/>
      <c r="H74" s="151">
        <f>Table2[[#This Row],[CAD]]*Table2[[#This Row],[ '#]] + Table2[[#This Row],[USD]]*Table2[[#This Row],[ '#]]*ExchangeRate</f>
        <v>2.99</v>
      </c>
      <c r="I74" s="3"/>
    </row>
    <row r="75" spans="1:9">
      <c r="A75" s="14" t="s">
        <v>315</v>
      </c>
      <c r="B75" s="17" t="s">
        <v>40</v>
      </c>
      <c r="C75" s="3">
        <v>1</v>
      </c>
      <c r="D75" s="5" t="s">
        <v>6</v>
      </c>
      <c r="E75" s="5" t="s">
        <v>2</v>
      </c>
      <c r="F75" s="6">
        <v>5.99</v>
      </c>
      <c r="G75" s="6"/>
      <c r="H75" s="151">
        <f>Table2[[#This Row],[CAD]]*Table2[[#This Row],[ '#]] + Table2[[#This Row],[USD]]*Table2[[#This Row],[ '#]]*ExchangeRate</f>
        <v>5.99</v>
      </c>
      <c r="I75" s="3"/>
    </row>
    <row r="76" spans="1:9">
      <c r="A76" s="14" t="s">
        <v>315</v>
      </c>
      <c r="B76" s="13" t="s">
        <v>93</v>
      </c>
      <c r="C76" s="28">
        <v>2</v>
      </c>
      <c r="D76" s="4"/>
      <c r="E76" s="21" t="s">
        <v>1</v>
      </c>
      <c r="F76" s="7"/>
      <c r="G76" s="8">
        <v>19.5</v>
      </c>
      <c r="H76" s="151">
        <f>Table2[[#This Row],[CAD]]*Table2[[#This Row],[ '#]] + Table2[[#This Row],[USD]]*Table2[[#This Row],[ '#]]*ExchangeRate</f>
        <v>51.09</v>
      </c>
      <c r="I76" s="3"/>
    </row>
    <row r="77" spans="1:9">
      <c r="A77" s="14" t="s">
        <v>315</v>
      </c>
      <c r="B77" s="13" t="s">
        <v>34</v>
      </c>
      <c r="C77" s="4">
        <v>1</v>
      </c>
      <c r="D77" s="21" t="s">
        <v>6</v>
      </c>
      <c r="E77" s="34" t="s">
        <v>3</v>
      </c>
      <c r="F77" s="22">
        <v>21.99</v>
      </c>
      <c r="G77" s="23"/>
      <c r="H77" s="151">
        <f>Table2[[#This Row],[CAD]]*Table2[[#This Row],[ '#]] + Table2[[#This Row],[USD]]*Table2[[#This Row],[ '#]]*ExchangeRate</f>
        <v>21.99</v>
      </c>
      <c r="I77" s="4"/>
    </row>
    <row r="78" spans="1:9">
      <c r="A78" s="18" t="s">
        <v>315</v>
      </c>
      <c r="B78" s="17" t="s">
        <v>4</v>
      </c>
      <c r="C78" s="3"/>
      <c r="D78" s="3"/>
      <c r="E78" s="5" t="s">
        <v>3</v>
      </c>
      <c r="F78" s="6"/>
      <c r="G78" s="6"/>
      <c r="H78" s="151">
        <f>Table2[[#This Row],[CAD]]*Table2[[#This Row],[ '#]] + Table2[[#This Row],[USD]]*Table2[[#This Row],[ '#]]*ExchangeRate</f>
        <v>0</v>
      </c>
      <c r="I78" s="3"/>
    </row>
    <row r="79" spans="1:9">
      <c r="A79" s="18" t="s">
        <v>315</v>
      </c>
      <c r="B79" s="17" t="s">
        <v>633</v>
      </c>
      <c r="C79" s="150">
        <v>3</v>
      </c>
      <c r="D79" s="3"/>
      <c r="E79" s="5" t="s">
        <v>3</v>
      </c>
      <c r="F79" s="6"/>
      <c r="G79" s="29">
        <v>13.7</v>
      </c>
      <c r="H79" s="151">
        <f>Table2[[#This Row],[CAD]]*Table2[[#This Row],[ '#]] + Table2[[#This Row],[USD]]*Table2[[#This Row],[ '#]]*ExchangeRate</f>
        <v>53.840999999999994</v>
      </c>
      <c r="I79" s="3"/>
    </row>
    <row r="80" spans="1:9">
      <c r="A80" s="18" t="s">
        <v>315</v>
      </c>
      <c r="B80" s="17" t="s">
        <v>41</v>
      </c>
      <c r="C80" s="3">
        <v>1</v>
      </c>
      <c r="D80" s="5" t="s">
        <v>6</v>
      </c>
      <c r="E80" s="5" t="s">
        <v>2</v>
      </c>
      <c r="F80" s="6">
        <v>7.99</v>
      </c>
      <c r="G80" s="6"/>
      <c r="H80" s="151">
        <f>Table2[[#This Row],[CAD]]*Table2[[#This Row],[ '#]] + Table2[[#This Row],[USD]]*Table2[[#This Row],[ '#]]*ExchangeRate</f>
        <v>7.99</v>
      </c>
      <c r="I80" s="3"/>
    </row>
    <row r="81" spans="1:9">
      <c r="A81" s="18" t="s">
        <v>315</v>
      </c>
      <c r="B81" s="17" t="s">
        <v>42</v>
      </c>
      <c r="C81" s="3">
        <v>1</v>
      </c>
      <c r="D81" s="5" t="s">
        <v>62</v>
      </c>
      <c r="E81" s="5"/>
      <c r="F81" s="6">
        <f>19.99/10</f>
        <v>1.9989999999999999</v>
      </c>
      <c r="G81" s="20"/>
      <c r="H81" s="151">
        <f>Table2[[#This Row],[CAD]]*Table2[[#This Row],[ '#]] + Table2[[#This Row],[USD]]*Table2[[#This Row],[ '#]]*ExchangeRate</f>
        <v>1.9989999999999999</v>
      </c>
      <c r="I81" s="3" t="s">
        <v>696</v>
      </c>
    </row>
    <row r="82" spans="1:9">
      <c r="A82" s="18" t="s">
        <v>315</v>
      </c>
      <c r="B82" s="17" t="s">
        <v>50</v>
      </c>
      <c r="C82" s="3">
        <v>1</v>
      </c>
      <c r="D82" s="5" t="s">
        <v>6</v>
      </c>
      <c r="E82" s="5"/>
      <c r="F82" s="6">
        <v>44.89</v>
      </c>
      <c r="G82" s="6"/>
      <c r="H82" s="151">
        <f>Table2[[#This Row],[CAD]]*Table2[[#This Row],[ '#]] + Table2[[#This Row],[USD]]*Table2[[#This Row],[ '#]]*ExchangeRate</f>
        <v>44.89</v>
      </c>
      <c r="I82" s="3"/>
    </row>
    <row r="83" spans="1:9">
      <c r="A83" s="18" t="s">
        <v>315</v>
      </c>
      <c r="B83" s="13" t="s">
        <v>631</v>
      </c>
      <c r="C83" s="3">
        <v>3</v>
      </c>
      <c r="D83" s="5" t="s">
        <v>6</v>
      </c>
      <c r="E83" s="5" t="s">
        <v>2</v>
      </c>
      <c r="F83" s="6">
        <v>20.99</v>
      </c>
      <c r="G83" s="20"/>
      <c r="H83" s="151">
        <f>Table2[[#This Row],[CAD]]*Table2[[#This Row],[ '#]] + Table2[[#This Row],[USD]]*Table2[[#This Row],[ '#]]*ExchangeRate</f>
        <v>62.97</v>
      </c>
      <c r="I83" s="3"/>
    </row>
    <row r="84" spans="1:9">
      <c r="A84" s="18" t="s">
        <v>315</v>
      </c>
      <c r="B84" s="17" t="s">
        <v>720</v>
      </c>
      <c r="C84" s="150">
        <v>1</v>
      </c>
      <c r="D84" s="166" t="s">
        <v>51</v>
      </c>
      <c r="E84" s="5"/>
      <c r="F84" s="6">
        <v>0.3</v>
      </c>
      <c r="G84" s="29"/>
      <c r="H84" s="151">
        <f>Table2[[#This Row],[CAD]]*Table2[[#This Row],[ '#]] + Table2[[#This Row],[USD]]*Table2[[#This Row],[ '#]]*ExchangeRate</f>
        <v>0.3</v>
      </c>
      <c r="I84" s="4"/>
    </row>
    <row r="85" spans="1:9">
      <c r="A85" s="18" t="s">
        <v>315</v>
      </c>
      <c r="B85" s="17" t="s">
        <v>721</v>
      </c>
      <c r="C85" s="150">
        <v>1</v>
      </c>
      <c r="D85" s="5" t="s">
        <v>51</v>
      </c>
      <c r="E85" s="5"/>
      <c r="F85" s="6">
        <v>2.33</v>
      </c>
      <c r="G85" s="29"/>
      <c r="H85" s="151">
        <f>Table2[[#This Row],[CAD]]*Table2[[#This Row],[ '#]] + Table2[[#This Row],[USD]]*Table2[[#This Row],[ '#]]*ExchangeRate</f>
        <v>2.33</v>
      </c>
      <c r="I85" s="4"/>
    </row>
    <row r="86" spans="1:9">
      <c r="A86" s="18" t="s">
        <v>315</v>
      </c>
      <c r="B86" s="17" t="s">
        <v>649</v>
      </c>
      <c r="C86" s="17">
        <v>4</v>
      </c>
      <c r="D86" s="5"/>
      <c r="E86" t="s">
        <v>723</v>
      </c>
      <c r="F86" s="6"/>
      <c r="G86" s="6">
        <f>31.64/4</f>
        <v>7.91</v>
      </c>
      <c r="H86" s="151">
        <f>Table2[[#This Row],[CAD]]*Table2[[#This Row],[ '#]] + Table2[[#This Row],[USD]]*Table2[[#This Row],[ '#]]*ExchangeRate</f>
        <v>41.448399999999999</v>
      </c>
      <c r="I86" s="4"/>
    </row>
    <row r="87" spans="1:9">
      <c r="A87" s="14" t="s">
        <v>335</v>
      </c>
      <c r="B87" s="13" t="s">
        <v>66</v>
      </c>
      <c r="C87" s="3">
        <v>4</v>
      </c>
      <c r="D87" s="21" t="s">
        <v>6</v>
      </c>
      <c r="E87" s="21" t="s">
        <v>2</v>
      </c>
      <c r="F87" s="22">
        <v>13.19</v>
      </c>
      <c r="G87" s="6"/>
      <c r="H87" s="151">
        <f>Table2[[#This Row],[CAD]]*Table2[[#This Row],[ '#]] + Table2[[#This Row],[USD]]*Table2[[#This Row],[ '#]]*ExchangeRate</f>
        <v>52.76</v>
      </c>
      <c r="I87" s="3"/>
    </row>
    <row r="88" spans="1:9">
      <c r="A88" s="14" t="s">
        <v>335</v>
      </c>
      <c r="B88" s="17" t="s">
        <v>73</v>
      </c>
      <c r="C88" s="3">
        <f>C87</f>
        <v>4</v>
      </c>
      <c r="D88" s="5" t="s">
        <v>6</v>
      </c>
      <c r="E88" s="5" t="s">
        <v>2</v>
      </c>
      <c r="F88" s="6">
        <f>8.99/10</f>
        <v>0.89900000000000002</v>
      </c>
      <c r="G88" s="6"/>
      <c r="H88" s="151">
        <f>Table2[[#This Row],[CAD]]*Table2[[#This Row],[ '#]] + Table2[[#This Row],[USD]]*Table2[[#This Row],[ '#]]*ExchangeRate</f>
        <v>3.5960000000000001</v>
      </c>
      <c r="I88" s="3"/>
    </row>
    <row r="89" spans="1:9">
      <c r="A89" s="14" t="s">
        <v>335</v>
      </c>
      <c r="B89" s="13" t="s">
        <v>93</v>
      </c>
      <c r="C89" s="28">
        <v>1</v>
      </c>
      <c r="D89" s="4"/>
      <c r="E89" s="21" t="s">
        <v>1</v>
      </c>
      <c r="F89" s="7"/>
      <c r="G89" s="8">
        <v>19.5</v>
      </c>
      <c r="H89" s="151">
        <f>Table2[[#This Row],[CAD]]*Table2[[#This Row],[ '#]] + Table2[[#This Row],[USD]]*Table2[[#This Row],[ '#]]*ExchangeRate</f>
        <v>25.545000000000002</v>
      </c>
      <c r="I89" s="3"/>
    </row>
    <row r="90" spans="1:9">
      <c r="A90" s="14" t="s">
        <v>335</v>
      </c>
      <c r="B90" s="17" t="s">
        <v>97</v>
      </c>
      <c r="C90" s="150">
        <v>1</v>
      </c>
      <c r="D90" s="5" t="s">
        <v>51</v>
      </c>
      <c r="E90" s="5"/>
      <c r="F90" s="22">
        <v>7.24</v>
      </c>
      <c r="G90" s="29"/>
      <c r="H90" s="151">
        <f>Table2[[#This Row],[CAD]]*Table2[[#This Row],[ '#]] + Table2[[#This Row],[USD]]*Table2[[#This Row],[ '#]]*ExchangeRate</f>
        <v>7.24</v>
      </c>
      <c r="I90" s="4"/>
    </row>
    <row r="91" spans="1:9">
      <c r="A91" s="14" t="s">
        <v>335</v>
      </c>
      <c r="B91" s="17" t="s">
        <v>77</v>
      </c>
      <c r="C91" s="3">
        <v>4</v>
      </c>
      <c r="D91" s="21" t="s">
        <v>6</v>
      </c>
      <c r="E91" s="21"/>
      <c r="F91" s="22">
        <f>8.99/100</f>
        <v>8.9900000000000008E-2</v>
      </c>
      <c r="G91" s="29"/>
      <c r="H91" s="151">
        <f>Table2[[#This Row],[CAD]]*Table2[[#This Row],[ '#]] + Table2[[#This Row],[USD]]*Table2[[#This Row],[ '#]]*ExchangeRate</f>
        <v>0.35960000000000003</v>
      </c>
      <c r="I91" s="4"/>
    </row>
    <row r="92" spans="1:9">
      <c r="A92" s="18" t="s">
        <v>335</v>
      </c>
      <c r="B92" s="13" t="s">
        <v>631</v>
      </c>
      <c r="C92" s="150">
        <v>1</v>
      </c>
      <c r="D92" s="5" t="s">
        <v>6</v>
      </c>
      <c r="E92" s="5" t="s">
        <v>2</v>
      </c>
      <c r="F92" s="6">
        <v>20.99</v>
      </c>
      <c r="G92" s="29"/>
      <c r="H92" s="151">
        <f>Table2[[#This Row],[CAD]]*Table2[[#This Row],[ '#]] + Table2[[#This Row],[USD]]*Table2[[#This Row],[ '#]]*ExchangeRate</f>
        <v>20.99</v>
      </c>
      <c r="I92" s="4"/>
    </row>
    <row r="93" spans="1:9">
      <c r="A93" s="18" t="s">
        <v>335</v>
      </c>
      <c r="B93" s="17" t="s">
        <v>579</v>
      </c>
      <c r="C93" s="150">
        <v>4</v>
      </c>
      <c r="D93" s="5" t="s">
        <v>6</v>
      </c>
      <c r="E93" s="5"/>
      <c r="F93" s="6">
        <v>1.99</v>
      </c>
      <c r="G93" s="29"/>
      <c r="H93" s="151">
        <f>Table2[[#This Row],[CAD]]*Table2[[#This Row],[ '#]] + Table2[[#This Row],[USD]]*Table2[[#This Row],[ '#]]*ExchangeRate</f>
        <v>7.96</v>
      </c>
      <c r="I93" s="4"/>
    </row>
    <row r="94" spans="1:9">
      <c r="A94" s="18" t="s">
        <v>335</v>
      </c>
      <c r="B94" s="3" t="s">
        <v>731</v>
      </c>
      <c r="C94" s="17">
        <v>1</v>
      </c>
      <c r="D94" s="3" t="s">
        <v>718</v>
      </c>
      <c r="E94" s="3"/>
      <c r="F94" s="6">
        <f>141.38*1.05</f>
        <v>148.44900000000001</v>
      </c>
      <c r="G94" s="6"/>
      <c r="H94" s="151">
        <f>Table2[[#This Row],[CAD]]*Table2[[#This Row],[ '#]] + Table2[[#This Row],[USD]]*Table2[[#This Row],[ '#]]*ExchangeRate</f>
        <v>148.44900000000001</v>
      </c>
      <c r="I94" s="3"/>
    </row>
    <row r="95" spans="1:9">
      <c r="A95" s="18" t="s">
        <v>335</v>
      </c>
      <c r="B95" s="3" t="s">
        <v>732</v>
      </c>
      <c r="C95" s="17">
        <v>1</v>
      </c>
      <c r="D95" s="3" t="s">
        <v>718</v>
      </c>
      <c r="E95" s="3"/>
      <c r="F95" s="6">
        <f>67.15*1.05</f>
        <v>70.507500000000007</v>
      </c>
      <c r="G95" s="6"/>
      <c r="H95" s="151">
        <f>Table2[[#This Row],[CAD]]*Table2[[#This Row],[ '#]] + Table2[[#This Row],[USD]]*Table2[[#This Row],[ '#]]*ExchangeRate</f>
        <v>70.507500000000007</v>
      </c>
      <c r="I95" s="3"/>
    </row>
    <row r="96" spans="1:9">
      <c r="A96" s="18" t="s">
        <v>335</v>
      </c>
      <c r="B96" s="3" t="s">
        <v>733</v>
      </c>
      <c r="C96" s="17">
        <v>1</v>
      </c>
      <c r="D96" s="3" t="s">
        <v>718</v>
      </c>
      <c r="E96" s="3"/>
      <c r="F96" s="6">
        <f>71.91*1.05</f>
        <v>75.505499999999998</v>
      </c>
      <c r="G96" s="6"/>
      <c r="H96" s="151">
        <f>Table2[[#This Row],[CAD]]*Table2[[#This Row],[ '#]] + Table2[[#This Row],[USD]]*Table2[[#This Row],[ '#]]*ExchangeRate</f>
        <v>75.505499999999998</v>
      </c>
      <c r="I96" s="3"/>
    </row>
    <row r="97" spans="1:9">
      <c r="A97" s="18" t="s">
        <v>20</v>
      </c>
      <c r="B97" s="17" t="s">
        <v>654</v>
      </c>
      <c r="C97" s="17">
        <v>12</v>
      </c>
      <c r="D97" s="5"/>
      <c r="E97" t="s">
        <v>723</v>
      </c>
      <c r="F97" s="6"/>
      <c r="G97" s="6">
        <f>74.2/14</f>
        <v>5.3</v>
      </c>
      <c r="H97" s="151">
        <f>Table2[[#This Row],[CAD]]*Table2[[#This Row],[ '#]] + Table2[[#This Row],[USD]]*Table2[[#This Row],[ '#]]*ExchangeRate</f>
        <v>83.316000000000003</v>
      </c>
      <c r="I97" s="4"/>
    </row>
    <row r="98" spans="1:9">
      <c r="A98" s="14" t="s">
        <v>20</v>
      </c>
      <c r="B98" s="17" t="s">
        <v>37</v>
      </c>
      <c r="C98" s="3">
        <v>1</v>
      </c>
      <c r="D98" s="3"/>
      <c r="E98" s="3"/>
      <c r="F98" s="6"/>
      <c r="G98" s="6"/>
      <c r="H98" s="151">
        <f>Table2[[#This Row],[CAD]]*Table2[[#This Row],[ '#]] + Table2[[#This Row],[USD]]*Table2[[#This Row],[ '#]]*ExchangeRate</f>
        <v>0</v>
      </c>
      <c r="I98" s="3"/>
    </row>
    <row r="99" spans="1:9">
      <c r="A99" s="18" t="s">
        <v>20</v>
      </c>
      <c r="B99" s="17" t="s">
        <v>632</v>
      </c>
      <c r="C99" s="150">
        <v>1</v>
      </c>
      <c r="D99" s="21" t="s">
        <v>51</v>
      </c>
      <c r="E99" s="5"/>
      <c r="F99" s="6">
        <v>23.09</v>
      </c>
      <c r="G99" s="29"/>
      <c r="H99" s="151">
        <f>Table2[[#This Row],[CAD]]*Table2[[#This Row],[ '#]] + Table2[[#This Row],[USD]]*Table2[[#This Row],[ '#]]*ExchangeRate</f>
        <v>23.09</v>
      </c>
      <c r="I99" s="3" t="s">
        <v>619</v>
      </c>
    </row>
    <row r="100" spans="1:9">
      <c r="A100" s="14" t="s">
        <v>20</v>
      </c>
      <c r="B100" s="13" t="s">
        <v>48</v>
      </c>
      <c r="C100" s="150">
        <v>1</v>
      </c>
      <c r="D100" s="5" t="s">
        <v>6</v>
      </c>
      <c r="E100" s="19"/>
      <c r="F100" s="6">
        <v>25.99</v>
      </c>
      <c r="G100" s="29"/>
      <c r="H100" s="151">
        <f>Table2[[#This Row],[CAD]]*Table2[[#This Row],[ '#]] + Table2[[#This Row],[USD]]*Table2[[#This Row],[ '#]]*ExchangeRate</f>
        <v>25.99</v>
      </c>
      <c r="I100" s="3"/>
    </row>
    <row r="101" spans="1:9">
      <c r="A101" s="14" t="s">
        <v>20</v>
      </c>
      <c r="B101" s="13" t="s">
        <v>48</v>
      </c>
      <c r="C101" s="13">
        <v>2</v>
      </c>
      <c r="D101" s="189" t="s">
        <v>51</v>
      </c>
      <c r="E101" s="26"/>
      <c r="F101" s="22">
        <v>22.57</v>
      </c>
      <c r="G101" s="22"/>
      <c r="H101" s="151">
        <f>Table2[[#This Row],[CAD]]*Table2[[#This Row],[ '#]] + Table2[[#This Row],[USD]]*Table2[[#This Row],[ '#]]*ExchangeRate</f>
        <v>45.14</v>
      </c>
      <c r="I101" s="4"/>
    </row>
    <row r="102" spans="1:9">
      <c r="A102" s="14" t="s">
        <v>20</v>
      </c>
      <c r="B102" s="13" t="s">
        <v>43</v>
      </c>
      <c r="C102" s="150">
        <v>3</v>
      </c>
      <c r="D102" s="5" t="s">
        <v>6</v>
      </c>
      <c r="E102" s="5" t="s">
        <v>2</v>
      </c>
      <c r="F102" s="6">
        <v>4.99</v>
      </c>
      <c r="G102" s="29"/>
      <c r="H102" s="151">
        <f>Table2[[#This Row],[CAD]]*Table2[[#This Row],[ '#]] + Table2[[#This Row],[USD]]*Table2[[#This Row],[ '#]]*ExchangeRate</f>
        <v>14.97</v>
      </c>
      <c r="I102" s="3"/>
    </row>
    <row r="103" spans="1:9">
      <c r="A103" s="14" t="s">
        <v>20</v>
      </c>
      <c r="B103" s="13" t="s">
        <v>44</v>
      </c>
      <c r="C103" s="150">
        <v>3</v>
      </c>
      <c r="D103" s="5" t="s">
        <v>6</v>
      </c>
      <c r="E103" s="5" t="s">
        <v>2</v>
      </c>
      <c r="F103" s="6">
        <v>3.99</v>
      </c>
      <c r="G103" s="29"/>
      <c r="H103" s="151">
        <f>Table2[[#This Row],[CAD]]*Table2[[#This Row],[ '#]] + Table2[[#This Row],[USD]]*Table2[[#This Row],[ '#]]*ExchangeRate</f>
        <v>11.97</v>
      </c>
      <c r="I103" s="3"/>
    </row>
    <row r="104" spans="1:9">
      <c r="A104" s="14" t="s">
        <v>20</v>
      </c>
      <c r="B104" s="13" t="s">
        <v>45</v>
      </c>
      <c r="C104" s="150">
        <v>2</v>
      </c>
      <c r="D104" s="5" t="s">
        <v>6</v>
      </c>
      <c r="E104" s="5" t="s">
        <v>2</v>
      </c>
      <c r="F104" s="6">
        <v>5.99</v>
      </c>
      <c r="G104" s="29"/>
      <c r="H104" s="151">
        <f>Table2[[#This Row],[CAD]]*Table2[[#This Row],[ '#]] + Table2[[#This Row],[USD]]*Table2[[#This Row],[ '#]]*ExchangeRate</f>
        <v>11.98</v>
      </c>
      <c r="I104" s="3"/>
    </row>
    <row r="105" spans="1:9">
      <c r="A105" s="14" t="s">
        <v>20</v>
      </c>
      <c r="B105" s="13" t="s">
        <v>46</v>
      </c>
      <c r="C105" s="150">
        <v>2</v>
      </c>
      <c r="D105" s="5" t="s">
        <v>6</v>
      </c>
      <c r="E105" s="5" t="s">
        <v>3</v>
      </c>
      <c r="F105" s="6">
        <v>7.99</v>
      </c>
      <c r="G105" s="29"/>
      <c r="H105" s="151">
        <f>Table2[[#This Row],[CAD]]*Table2[[#This Row],[ '#]] + Table2[[#This Row],[USD]]*Table2[[#This Row],[ '#]]*ExchangeRate</f>
        <v>15.98</v>
      </c>
      <c r="I105" s="3"/>
    </row>
    <row r="106" spans="1:9">
      <c r="A106" s="14" t="s">
        <v>20</v>
      </c>
      <c r="B106" s="13" t="s">
        <v>47</v>
      </c>
      <c r="C106" s="150">
        <v>2</v>
      </c>
      <c r="D106" s="5" t="s">
        <v>6</v>
      </c>
      <c r="E106" s="5" t="s">
        <v>3</v>
      </c>
      <c r="F106" s="6">
        <v>4.99</v>
      </c>
      <c r="G106" s="29"/>
      <c r="H106" s="151">
        <f>Table2[[#This Row],[CAD]]*Table2[[#This Row],[ '#]] + Table2[[#This Row],[USD]]*Table2[[#This Row],[ '#]]*ExchangeRate</f>
        <v>9.98</v>
      </c>
      <c r="I106" s="3"/>
    </row>
    <row r="107" spans="1:9">
      <c r="A107" s="14" t="s">
        <v>20</v>
      </c>
      <c r="B107" s="13" t="s">
        <v>49</v>
      </c>
      <c r="C107" s="150">
        <v>8</v>
      </c>
      <c r="D107" s="5" t="s">
        <v>6</v>
      </c>
      <c r="E107" s="19"/>
      <c r="F107" s="6">
        <v>4.99</v>
      </c>
      <c r="G107" s="29"/>
      <c r="H107" s="151">
        <f>Table2[[#This Row],[CAD]]*Table2[[#This Row],[ '#]] + Table2[[#This Row],[USD]]*Table2[[#This Row],[ '#]]*ExchangeRate</f>
        <v>39.92</v>
      </c>
      <c r="I107" s="3"/>
    </row>
    <row r="108" spans="1:9">
      <c r="A108" s="18" t="s">
        <v>20</v>
      </c>
      <c r="B108" s="17" t="s">
        <v>53</v>
      </c>
      <c r="C108" s="150">
        <v>4</v>
      </c>
      <c r="D108" s="3"/>
      <c r="E108" s="5" t="s">
        <v>52</v>
      </c>
      <c r="F108" s="6"/>
      <c r="G108" s="29">
        <v>4.75</v>
      </c>
      <c r="H108" s="151">
        <f>Table2[[#This Row],[CAD]]*Table2[[#This Row],[ '#]] + Table2[[#This Row],[USD]]*Table2[[#This Row],[ '#]]*ExchangeRate</f>
        <v>24.89</v>
      </c>
      <c r="I108" s="3"/>
    </row>
    <row r="109" spans="1:9">
      <c r="A109" s="18" t="s">
        <v>20</v>
      </c>
      <c r="B109" s="17" t="s">
        <v>774</v>
      </c>
      <c r="C109" s="150">
        <v>3</v>
      </c>
      <c r="D109" s="3"/>
      <c r="E109" s="5"/>
      <c r="F109" s="6"/>
      <c r="G109" s="29">
        <v>5.75</v>
      </c>
      <c r="H109" s="151">
        <f>Table2[[#This Row],[CAD]]*Table2[[#This Row],[ '#]] + Table2[[#This Row],[USD]]*Table2[[#This Row],[ '#]]*ExchangeRate</f>
        <v>22.5975</v>
      </c>
      <c r="I109" s="3"/>
    </row>
    <row r="110" spans="1:9">
      <c r="A110" s="18" t="s">
        <v>20</v>
      </c>
      <c r="B110" s="17" t="s">
        <v>55</v>
      </c>
      <c r="C110" s="153">
        <v>6</v>
      </c>
      <c r="D110" s="3"/>
      <c r="E110" s="5" t="s">
        <v>52</v>
      </c>
      <c r="F110" s="6"/>
      <c r="G110" s="29">
        <v>7.95</v>
      </c>
      <c r="H110" s="151">
        <f>Table2[[#This Row],[CAD]]*Table2[[#This Row],[ '#]] + Table2[[#This Row],[USD]]*Table2[[#This Row],[ '#]]*ExchangeRate</f>
        <v>62.487000000000009</v>
      </c>
      <c r="I110" s="3"/>
    </row>
    <row r="111" spans="1:9">
      <c r="A111" s="18" t="s">
        <v>20</v>
      </c>
      <c r="B111" s="17" t="s">
        <v>54</v>
      </c>
      <c r="C111" s="153">
        <v>6</v>
      </c>
      <c r="D111" s="3"/>
      <c r="E111" s="5" t="s">
        <v>52</v>
      </c>
      <c r="F111" s="6"/>
      <c r="G111" s="29">
        <v>5.95</v>
      </c>
      <c r="H111" s="151">
        <f>Table2[[#This Row],[CAD]]*Table2[[#This Row],[ '#]] + Table2[[#This Row],[USD]]*Table2[[#This Row],[ '#]]*ExchangeRate</f>
        <v>46.767000000000003</v>
      </c>
      <c r="I111" s="3"/>
    </row>
    <row r="112" spans="1:9">
      <c r="A112" s="18" t="s">
        <v>20</v>
      </c>
      <c r="B112" s="17" t="s">
        <v>56</v>
      </c>
      <c r="C112" s="150">
        <v>6</v>
      </c>
      <c r="D112" s="3"/>
      <c r="E112" s="5" t="s">
        <v>52</v>
      </c>
      <c r="F112" s="6"/>
      <c r="G112" s="29">
        <v>0.59</v>
      </c>
      <c r="H112" s="151">
        <f>Table2[[#This Row],[CAD]]*Table2[[#This Row],[ '#]] + Table2[[#This Row],[USD]]*Table2[[#This Row],[ '#]]*ExchangeRate</f>
        <v>4.6374000000000004</v>
      </c>
      <c r="I112" s="3"/>
    </row>
    <row r="113" spans="1:9">
      <c r="A113" s="18" t="s">
        <v>20</v>
      </c>
      <c r="B113" s="17" t="s">
        <v>57</v>
      </c>
      <c r="C113" s="150">
        <v>10</v>
      </c>
      <c r="D113" s="3"/>
      <c r="E113" s="5" t="s">
        <v>52</v>
      </c>
      <c r="F113" s="6"/>
      <c r="G113" s="29">
        <v>0.53</v>
      </c>
      <c r="H113" s="151">
        <f>Table2[[#This Row],[CAD]]*Table2[[#This Row],[ '#]] + Table2[[#This Row],[USD]]*Table2[[#This Row],[ '#]]*ExchangeRate</f>
        <v>6.9430000000000014</v>
      </c>
      <c r="I113" s="3"/>
    </row>
    <row r="114" spans="1:9">
      <c r="A114" s="18" t="s">
        <v>20</v>
      </c>
      <c r="B114" s="17" t="s">
        <v>58</v>
      </c>
      <c r="C114" s="150">
        <v>2</v>
      </c>
      <c r="D114" s="3"/>
      <c r="E114" s="5" t="s">
        <v>52</v>
      </c>
      <c r="F114" s="6"/>
      <c r="G114" s="29">
        <v>0.69</v>
      </c>
      <c r="H114" s="151">
        <f>Table2[[#This Row],[CAD]]*Table2[[#This Row],[ '#]] + Table2[[#This Row],[USD]]*Table2[[#This Row],[ '#]]*ExchangeRate</f>
        <v>1.8077999999999999</v>
      </c>
      <c r="I114" s="3"/>
    </row>
    <row r="115" spans="1:9">
      <c r="A115" s="18" t="s">
        <v>20</v>
      </c>
      <c r="B115" s="17" t="s">
        <v>59</v>
      </c>
      <c r="C115" s="150">
        <v>1</v>
      </c>
      <c r="D115" s="3"/>
      <c r="E115" s="5" t="s">
        <v>52</v>
      </c>
      <c r="F115" s="6"/>
      <c r="G115" s="29">
        <v>29.95</v>
      </c>
      <c r="H115" s="151">
        <f>Table2[[#This Row],[CAD]]*Table2[[#This Row],[ '#]] + Table2[[#This Row],[USD]]*Table2[[#This Row],[ '#]]*ExchangeRate</f>
        <v>39.234500000000004</v>
      </c>
      <c r="I115" s="3"/>
    </row>
    <row r="116" spans="1:9">
      <c r="A116" s="18" t="s">
        <v>20</v>
      </c>
      <c r="B116" s="17" t="s">
        <v>60</v>
      </c>
      <c r="C116" s="150">
        <v>2</v>
      </c>
      <c r="D116" s="3"/>
      <c r="E116" s="5" t="s">
        <v>52</v>
      </c>
      <c r="F116" s="6"/>
      <c r="G116" s="29">
        <v>1.49</v>
      </c>
      <c r="H116" s="151">
        <f>Table2[[#This Row],[CAD]]*Table2[[#This Row],[ '#]] + Table2[[#This Row],[USD]]*Table2[[#This Row],[ '#]]*ExchangeRate</f>
        <v>3.9037999999999999</v>
      </c>
      <c r="I116" s="3"/>
    </row>
    <row r="117" spans="1:9">
      <c r="A117" s="18" t="s">
        <v>20</v>
      </c>
      <c r="B117" s="17" t="s">
        <v>61</v>
      </c>
      <c r="C117" s="150">
        <v>1</v>
      </c>
      <c r="D117" s="3" t="s">
        <v>62</v>
      </c>
      <c r="E117" s="5"/>
      <c r="F117" s="6">
        <v>23.86</v>
      </c>
      <c r="G117" s="29"/>
      <c r="H117" s="151">
        <f>Table2[[#This Row],[CAD]]*Table2[[#This Row],[ '#]] + Table2[[#This Row],[USD]]*Table2[[#This Row],[ '#]]*ExchangeRate</f>
        <v>23.86</v>
      </c>
      <c r="I117" s="3"/>
    </row>
    <row r="118" spans="1:9">
      <c r="A118" s="18" t="s">
        <v>20</v>
      </c>
      <c r="B118" s="17" t="s">
        <v>63</v>
      </c>
      <c r="C118" s="150">
        <v>1</v>
      </c>
      <c r="D118" s="3" t="s">
        <v>62</v>
      </c>
      <c r="E118" s="5"/>
      <c r="F118" s="6">
        <v>11.74</v>
      </c>
      <c r="G118" s="29"/>
      <c r="H118" s="151">
        <f>Table2[[#This Row],[CAD]]*Table2[[#This Row],[ '#]] + Table2[[#This Row],[USD]]*Table2[[#This Row],[ '#]]*ExchangeRate</f>
        <v>11.74</v>
      </c>
      <c r="I118" s="3"/>
    </row>
    <row r="119" spans="1:9">
      <c r="A119" s="18" t="s">
        <v>20</v>
      </c>
      <c r="B119" s="17" t="s">
        <v>576</v>
      </c>
      <c r="C119" s="150">
        <v>2</v>
      </c>
      <c r="D119" s="3" t="s">
        <v>578</v>
      </c>
      <c r="E119" s="5"/>
      <c r="F119" s="6">
        <f>8.97*1.12</f>
        <v>10.046400000000002</v>
      </c>
      <c r="G119" s="29"/>
      <c r="H119" s="151">
        <f>Table2[[#This Row],[CAD]]*Table2[[#This Row],[ '#]] + Table2[[#This Row],[USD]]*Table2[[#This Row],[ '#]]*ExchangeRate</f>
        <v>20.092800000000004</v>
      </c>
      <c r="I119" s="3"/>
    </row>
    <row r="120" spans="1:9">
      <c r="A120" s="18" t="s">
        <v>20</v>
      </c>
      <c r="B120" s="3" t="s">
        <v>577</v>
      </c>
      <c r="C120" s="150">
        <v>1</v>
      </c>
      <c r="D120" s="3" t="s">
        <v>578</v>
      </c>
      <c r="E120" s="3"/>
      <c r="F120" s="6">
        <f>10.97*1.12</f>
        <v>12.286400000000002</v>
      </c>
      <c r="G120" s="29"/>
      <c r="H120" s="151">
        <f>Table2[[#This Row],[CAD]]*Table2[[#This Row],[ '#]] + Table2[[#This Row],[USD]]*Table2[[#This Row],[ '#]]*ExchangeRate</f>
        <v>12.286400000000002</v>
      </c>
      <c r="I120" s="3"/>
    </row>
    <row r="121" spans="1:9">
      <c r="A121" s="18" t="s">
        <v>20</v>
      </c>
      <c r="B121" s="3" t="s">
        <v>647</v>
      </c>
      <c r="C121" s="17">
        <v>2</v>
      </c>
      <c r="D121" s="3" t="s">
        <v>718</v>
      </c>
      <c r="E121" s="3"/>
      <c r="F121" s="6">
        <f>40.95*1.05</f>
        <v>42.997500000000002</v>
      </c>
      <c r="G121" s="6"/>
      <c r="H121" s="151">
        <f>Table2[[#This Row],[CAD]]*Table2[[#This Row],[ '#]] + Table2[[#This Row],[USD]]*Table2[[#This Row],[ '#]]*ExchangeRate</f>
        <v>85.995000000000005</v>
      </c>
      <c r="I121" s="3"/>
    </row>
    <row r="122" spans="1:9">
      <c r="A122" s="18" t="s">
        <v>20</v>
      </c>
      <c r="B122" s="3" t="s">
        <v>648</v>
      </c>
      <c r="C122" s="17">
        <v>1</v>
      </c>
      <c r="D122" s="3" t="s">
        <v>718</v>
      </c>
      <c r="E122" s="3"/>
      <c r="F122" s="6">
        <f>73.35*1.05</f>
        <v>77.017499999999998</v>
      </c>
      <c r="G122" s="6"/>
      <c r="H122" s="151">
        <f>Table2[[#This Row],[CAD]]*Table2[[#This Row],[ '#]] + Table2[[#This Row],[USD]]*Table2[[#This Row],[ '#]]*ExchangeRate</f>
        <v>77.017499999999998</v>
      </c>
      <c r="I122" s="3"/>
    </row>
    <row r="123" spans="1:9">
      <c r="A123" s="18" t="s">
        <v>20</v>
      </c>
      <c r="B123" s="3" t="s">
        <v>726</v>
      </c>
      <c r="C123" s="17">
        <v>1</v>
      </c>
      <c r="D123" s="3" t="s">
        <v>718</v>
      </c>
      <c r="E123" s="3"/>
      <c r="F123" s="6">
        <f>200.53*1.05</f>
        <v>210.5565</v>
      </c>
      <c r="G123" s="6"/>
      <c r="H123" s="151">
        <f>Table2[[#This Row],[CAD]]*Table2[[#This Row],[ '#]] + Table2[[#This Row],[USD]]*Table2[[#This Row],[ '#]]*ExchangeRate</f>
        <v>210.5565</v>
      </c>
      <c r="I123" s="3"/>
    </row>
    <row r="124" spans="1:9">
      <c r="A124" s="18" t="s">
        <v>20</v>
      </c>
      <c r="B124" s="3" t="s">
        <v>727</v>
      </c>
      <c r="C124" s="17">
        <v>1</v>
      </c>
      <c r="D124" s="3" t="s">
        <v>718</v>
      </c>
      <c r="E124" s="3"/>
      <c r="F124" s="6">
        <f>137.39*1.05</f>
        <v>144.2595</v>
      </c>
      <c r="G124" s="6"/>
      <c r="H124" s="151">
        <f>Table2[[#This Row],[CAD]]*Table2[[#This Row],[ '#]] + Table2[[#This Row],[USD]]*Table2[[#This Row],[ '#]]*ExchangeRate</f>
        <v>144.2595</v>
      </c>
      <c r="I124" s="3"/>
    </row>
    <row r="125" spans="1:9">
      <c r="A125" s="18" t="s">
        <v>20</v>
      </c>
      <c r="B125" s="3" t="s">
        <v>728</v>
      </c>
      <c r="C125" s="17">
        <v>1</v>
      </c>
      <c r="D125" s="3" t="s">
        <v>718</v>
      </c>
      <c r="E125" s="3"/>
      <c r="F125" s="6">
        <f>90.4*1.05</f>
        <v>94.920000000000016</v>
      </c>
      <c r="G125" s="6"/>
      <c r="H125" s="151">
        <f>Table2[[#This Row],[CAD]]*Table2[[#This Row],[ '#]] + Table2[[#This Row],[USD]]*Table2[[#This Row],[ '#]]*ExchangeRate</f>
        <v>94.920000000000016</v>
      </c>
      <c r="I125" s="3"/>
    </row>
    <row r="126" spans="1:9">
      <c r="A126" s="18" t="s">
        <v>20</v>
      </c>
      <c r="B126" s="3" t="s">
        <v>729</v>
      </c>
      <c r="C126" s="17">
        <v>1</v>
      </c>
      <c r="D126" s="3" t="s">
        <v>718</v>
      </c>
      <c r="E126" s="3"/>
      <c r="F126" s="6">
        <f>135.96*1.05</f>
        <v>142.75800000000001</v>
      </c>
      <c r="G126" s="6"/>
      <c r="H126" s="151">
        <f>Table2[[#This Row],[CAD]]*Table2[[#This Row],[ '#]] + Table2[[#This Row],[USD]]*Table2[[#This Row],[ '#]]*ExchangeRate</f>
        <v>142.75800000000001</v>
      </c>
      <c r="I126" s="3"/>
    </row>
    <row r="127" spans="1:9">
      <c r="A127" s="18" t="s">
        <v>20</v>
      </c>
      <c r="B127" s="3" t="s">
        <v>730</v>
      </c>
      <c r="C127" s="17">
        <v>1</v>
      </c>
      <c r="D127" s="3" t="s">
        <v>718</v>
      </c>
      <c r="E127" s="3"/>
      <c r="F127" s="6">
        <f>63.92*1.05</f>
        <v>67.116</v>
      </c>
      <c r="G127" s="6"/>
      <c r="H127" s="151">
        <f>Table2[[#This Row],[CAD]]*Table2[[#This Row],[ '#]] + Table2[[#This Row],[USD]]*Table2[[#This Row],[ '#]]*ExchangeRate</f>
        <v>67.116</v>
      </c>
      <c r="I127" s="3"/>
    </row>
    <row r="128" spans="1:9">
      <c r="A128" s="18" t="s">
        <v>20</v>
      </c>
      <c r="B128" s="3" t="s">
        <v>741</v>
      </c>
      <c r="C128" s="17">
        <v>12</v>
      </c>
      <c r="D128" s="3" t="s">
        <v>718</v>
      </c>
      <c r="E128" s="3"/>
      <c r="F128" s="6">
        <f>6.83*1.05</f>
        <v>7.1715</v>
      </c>
      <c r="G128" s="6"/>
      <c r="H128" s="151">
        <f>Table2[[#This Row],[CAD]]*Table2[[#This Row],[ '#]] + Table2[[#This Row],[USD]]*Table2[[#This Row],[ '#]]*ExchangeRate</f>
        <v>86.057999999999993</v>
      </c>
      <c r="I128" s="3"/>
    </row>
    <row r="129" spans="1:9">
      <c r="A129" s="14" t="s">
        <v>102</v>
      </c>
      <c r="B129" s="17" t="s">
        <v>1</v>
      </c>
      <c r="C129" s="150">
        <v>1</v>
      </c>
      <c r="D129" s="30"/>
      <c r="E129" s="19"/>
      <c r="F129" s="6"/>
      <c r="G129" s="31">
        <v>22</v>
      </c>
      <c r="H129" s="151">
        <f>Table2[[#This Row],[CAD]]*Table2[[#This Row],[ '#]] + Table2[[#This Row],[USD]]*Table2[[#This Row],[ '#]]*ExchangeRate</f>
        <v>28.82</v>
      </c>
      <c r="I129" s="3" t="s">
        <v>621</v>
      </c>
    </row>
    <row r="130" spans="1:9">
      <c r="A130" s="14" t="s">
        <v>102</v>
      </c>
      <c r="B130" s="17" t="s">
        <v>52</v>
      </c>
      <c r="C130" s="4">
        <v>1</v>
      </c>
      <c r="D130" s="30"/>
      <c r="E130" s="19" t="s">
        <v>52</v>
      </c>
      <c r="F130" s="6"/>
      <c r="G130" s="31">
        <f>31.95+26.36</f>
        <v>58.31</v>
      </c>
      <c r="H130" s="151">
        <f>Table2[[#This Row],[CAD]]*Table2[[#This Row],[ '#]] + Table2[[#This Row],[USD]]*Table2[[#This Row],[ '#]]*ExchangeRate</f>
        <v>76.386099999999999</v>
      </c>
      <c r="I130" s="3" t="s">
        <v>621</v>
      </c>
    </row>
    <row r="131" spans="1:9">
      <c r="A131" s="14" t="s">
        <v>102</v>
      </c>
      <c r="B131" s="17" t="s">
        <v>609</v>
      </c>
      <c r="C131" s="4">
        <v>1</v>
      </c>
      <c r="D131" s="30"/>
      <c r="E131" s="19"/>
      <c r="F131" s="22">
        <f>Table1[[#Totals],[Cost]]</f>
        <v>171.46169999999998</v>
      </c>
      <c r="G131" s="152"/>
      <c r="H131" s="151">
        <f>Table2[[#This Row],[CAD]]*Table2[[#This Row],[ '#]] + Table2[[#This Row],[USD]]*Table2[[#This Row],[ '#]]*ExchangeRate</f>
        <v>171.46169999999998</v>
      </c>
      <c r="I131" s="3" t="s">
        <v>620</v>
      </c>
    </row>
    <row r="132" spans="1:9">
      <c r="A132" s="14" t="s">
        <v>102</v>
      </c>
      <c r="B132" s="17" t="s">
        <v>6</v>
      </c>
      <c r="C132" s="4">
        <v>1</v>
      </c>
      <c r="D132" s="28"/>
      <c r="E132" s="26"/>
      <c r="F132" s="22">
        <f>26.55</f>
        <v>26.55</v>
      </c>
      <c r="G132" s="152"/>
      <c r="H132" s="151">
        <f>Table2[[#This Row],[CAD]]*Table2[[#This Row],[ '#]] + Table2[[#This Row],[USD]]*Table2[[#This Row],[ '#]]*ExchangeRate</f>
        <v>26.55</v>
      </c>
      <c r="I132" s="3" t="s">
        <v>621</v>
      </c>
    </row>
    <row r="133" spans="1:9">
      <c r="A133" s="14" t="s">
        <v>102</v>
      </c>
      <c r="B133" s="17" t="s">
        <v>676</v>
      </c>
      <c r="C133" s="153">
        <v>1</v>
      </c>
      <c r="D133" s="28"/>
      <c r="F133" s="22"/>
      <c r="G133" s="165">
        <v>21.4</v>
      </c>
      <c r="H133" s="168">
        <f>Table2[[#This Row],[CAD]]*Table2[[#This Row],[ '#]] + Table2[[#This Row],[USD]]*Table2[[#This Row],[ '#]]*ExchangeRate</f>
        <v>28.033999999999999</v>
      </c>
      <c r="I133" s="13"/>
    </row>
    <row r="134" spans="1:9">
      <c r="A134" s="14" t="s">
        <v>102</v>
      </c>
      <c r="B134" s="17" t="s">
        <v>677</v>
      </c>
      <c r="C134" s="153">
        <v>1</v>
      </c>
      <c r="D134" s="28"/>
      <c r="F134" s="22"/>
      <c r="G134" s="165">
        <v>5.42</v>
      </c>
      <c r="H134" s="151">
        <f>Table2[[#This Row],[CAD]]*Table2[[#This Row],[ '#]] + Table2[[#This Row],[USD]]*Table2[[#This Row],[ '#]]*ExchangeRate</f>
        <v>7.1002000000000001</v>
      </c>
      <c r="I134" s="17" t="s">
        <v>621</v>
      </c>
    </row>
    <row r="135" spans="1:9">
      <c r="A135" s="14" t="s">
        <v>102</v>
      </c>
      <c r="B135" s="17" t="s">
        <v>722</v>
      </c>
      <c r="C135" s="153">
        <v>1</v>
      </c>
      <c r="D135" s="28"/>
      <c r="F135" s="22">
        <v>9</v>
      </c>
      <c r="G135" s="31"/>
      <c r="H135" s="151">
        <f>Table2[[#This Row],[CAD]]*Table2[[#This Row],[ '#]] + Table2[[#This Row],[USD]]*Table2[[#This Row],[ '#]]*ExchangeRate</f>
        <v>9</v>
      </c>
      <c r="I135" s="17"/>
    </row>
    <row r="136" spans="1:9">
      <c r="A136" s="14" t="s">
        <v>102</v>
      </c>
      <c r="B136" s="17" t="s">
        <v>724</v>
      </c>
      <c r="C136" s="13">
        <v>0</v>
      </c>
      <c r="D136" s="28"/>
      <c r="F136" s="22"/>
      <c r="G136" s="22">
        <v>14.99</v>
      </c>
      <c r="H136" s="151">
        <f>Table2[[#This Row],[CAD]]*Table2[[#This Row],[ '#]] + Table2[[#This Row],[USD]]*Table2[[#This Row],[ '#]]*ExchangeRate</f>
        <v>0</v>
      </c>
      <c r="I136" s="17" t="s">
        <v>725</v>
      </c>
    </row>
    <row r="137" spans="1:9">
      <c r="A137" s="14" t="s">
        <v>102</v>
      </c>
      <c r="B137" s="13" t="s">
        <v>772</v>
      </c>
      <c r="C137" s="153">
        <v>1</v>
      </c>
      <c r="D137" s="28"/>
      <c r="E137" s="54"/>
      <c r="F137" s="22">
        <v>10.26</v>
      </c>
      <c r="G137" s="22"/>
      <c r="H137" s="151">
        <f>Table2[[#This Row],[CAD]]*Table2[[#This Row],[ '#]] + Table2[[#This Row],[USD]]*Table2[[#This Row],[ '#]]*ExchangeRate</f>
        <v>10.26</v>
      </c>
      <c r="I137" s="13"/>
    </row>
    <row r="138" spans="1:9">
      <c r="A138" s="14" t="s">
        <v>102</v>
      </c>
      <c r="B138" s="17" t="s">
        <v>773</v>
      </c>
      <c r="C138" s="153">
        <v>1</v>
      </c>
      <c r="D138" s="28"/>
      <c r="E138" s="54"/>
      <c r="F138" s="22">
        <f>23.45/2+41.48</f>
        <v>53.204999999999998</v>
      </c>
      <c r="G138" s="31"/>
      <c r="H138" s="151">
        <f>Table2[[#This Row],[CAD]]*Table2[[#This Row],[ '#]] + Table2[[#This Row],[USD]]*Table2[[#This Row],[ '#]]*ExchangeRate</f>
        <v>53.204999999999998</v>
      </c>
      <c r="I138" s="13"/>
    </row>
    <row r="139" spans="1:9">
      <c r="A139" s="14" t="s">
        <v>663</v>
      </c>
      <c r="B139" s="17" t="s">
        <v>664</v>
      </c>
      <c r="C139" s="13">
        <v>1</v>
      </c>
      <c r="D139" s="28"/>
      <c r="E139" s="26"/>
      <c r="F139" s="22">
        <v>89.6</v>
      </c>
      <c r="H139" s="151">
        <f>Table2[[#This Row],[CAD]]*Table2[[#This Row],[ '#]] + Table2[[#This Row],[USD]]*Table2[[#This Row],[ '#]]*ExchangeRate</f>
        <v>89.6</v>
      </c>
      <c r="I139" s="3"/>
    </row>
    <row r="140" spans="1:9">
      <c r="A140" s="14" t="s">
        <v>663</v>
      </c>
      <c r="B140" s="17" t="s">
        <v>675</v>
      </c>
      <c r="C140" s="153">
        <v>1</v>
      </c>
      <c r="D140" s="28"/>
      <c r="E140" s="26"/>
      <c r="F140" s="22">
        <v>100</v>
      </c>
      <c r="G140" s="152"/>
      <c r="H140" s="151">
        <f>Table2[[#This Row],[CAD]]*Table2[[#This Row],[ '#]] + Table2[[#This Row],[USD]]*Table2[[#This Row],[ '#]]*ExchangeRate</f>
        <v>100</v>
      </c>
      <c r="I140" s="3"/>
    </row>
    <row r="141" spans="1:9">
      <c r="A141" s="14" t="s">
        <v>663</v>
      </c>
      <c r="B141" s="17" t="s">
        <v>698</v>
      </c>
      <c r="C141" s="153">
        <v>1</v>
      </c>
      <c r="D141" s="28"/>
      <c r="E141" s="26"/>
      <c r="F141" s="22">
        <v>5.6</v>
      </c>
      <c r="G141" s="152"/>
      <c r="H141" s="151">
        <f>Table2[[#This Row],[CAD]]*Table2[[#This Row],[ '#]] + Table2[[#This Row],[USD]]*Table2[[#This Row],[ '#]]*ExchangeRate</f>
        <v>5.6</v>
      </c>
      <c r="I141" s="3"/>
    </row>
    <row r="142" spans="1:9">
      <c r="A142" s="14" t="s">
        <v>663</v>
      </c>
      <c r="B142" s="17" t="s">
        <v>708</v>
      </c>
      <c r="C142" s="153">
        <v>1</v>
      </c>
      <c r="D142" s="28"/>
      <c r="E142" s="26"/>
      <c r="F142" s="22">
        <v>16.8</v>
      </c>
      <c r="G142" s="152"/>
      <c r="H142" s="151">
        <f>Table2[[#This Row],[CAD]]*Table2[[#This Row],[ '#]] + Table2[[#This Row],[USD]]*Table2[[#This Row],[ '#]]*ExchangeRate</f>
        <v>16.8</v>
      </c>
      <c r="I142" s="3"/>
    </row>
    <row r="143" spans="1:9">
      <c r="A143" s="14" t="s">
        <v>663</v>
      </c>
      <c r="B143" s="17" t="s">
        <v>710</v>
      </c>
      <c r="C143" s="153">
        <v>1</v>
      </c>
      <c r="D143" s="28"/>
      <c r="E143" s="26"/>
      <c r="F143" s="22">
        <v>60.05</v>
      </c>
      <c r="G143" s="152"/>
      <c r="H143" s="151">
        <f>Table2[[#This Row],[CAD]]*Table2[[#This Row],[ '#]] + Table2[[#This Row],[USD]]*Table2[[#This Row],[ '#]]*ExchangeRate</f>
        <v>60.05</v>
      </c>
      <c r="I143" s="3"/>
    </row>
    <row r="144" spans="1:9">
      <c r="A144" s="14" t="s">
        <v>663</v>
      </c>
      <c r="B144" s="17" t="s">
        <v>711</v>
      </c>
      <c r="C144" s="153">
        <v>1</v>
      </c>
      <c r="D144" s="28" t="s">
        <v>578</v>
      </c>
      <c r="E144" s="26"/>
      <c r="F144" s="22">
        <v>15</v>
      </c>
      <c r="G144" s="152"/>
      <c r="H144" s="151">
        <f>Table2[[#This Row],[CAD]]*Table2[[#This Row],[ '#]] + Table2[[#This Row],[USD]]*Table2[[#This Row],[ '#]]*ExchangeRate</f>
        <v>15</v>
      </c>
      <c r="I144" s="3"/>
    </row>
    <row r="145" spans="1:9">
      <c r="A145" s="14" t="s">
        <v>663</v>
      </c>
      <c r="B145" s="17" t="s">
        <v>716</v>
      </c>
      <c r="C145" s="153">
        <v>1</v>
      </c>
      <c r="D145" s="28" t="s">
        <v>715</v>
      </c>
      <c r="E145" s="26"/>
      <c r="F145" s="22">
        <f>15.49*1.05</f>
        <v>16.264500000000002</v>
      </c>
      <c r="G145" s="152"/>
      <c r="H145" s="151">
        <f>Table2[[#This Row],[CAD]]*Table2[[#This Row],[ '#]] + Table2[[#This Row],[USD]]*Table2[[#This Row],[ '#]]*ExchangeRate</f>
        <v>16.264500000000002</v>
      </c>
      <c r="I145" s="3"/>
    </row>
    <row r="146" spans="1:9">
      <c r="G146" s="190"/>
      <c r="H146" s="191">
        <f>SUM(Table2[Total (CAD)])</f>
        <v>3978.2227000000007</v>
      </c>
    </row>
    <row r="147" spans="1:9">
      <c r="A147" s="33">
        <v>1.31</v>
      </c>
      <c r="B147" s="32" t="s">
        <v>64</v>
      </c>
    </row>
  </sheetData>
  <hyperlinks>
    <hyperlink ref="E8" r:id="rId1"/>
    <hyperlink ref="D8" r:id="rId2"/>
    <hyperlink ref="E9" r:id="rId3"/>
    <hyperlink ref="D9" r:id="rId4"/>
    <hyperlink ref="E6" r:id="rId5"/>
    <hyperlink ref="D6" r:id="rId6"/>
    <hyperlink ref="D7" r:id="rId7"/>
    <hyperlink ref="E7" r:id="rId8"/>
    <hyperlink ref="E5" r:id="rId9"/>
    <hyperlink ref="D5" r:id="rId10"/>
    <hyperlink ref="E14" r:id="rId11"/>
    <hyperlink ref="D14" r:id="rId12"/>
    <hyperlink ref="E15" r:id="rId13"/>
    <hyperlink ref="D15" r:id="rId14"/>
    <hyperlink ref="D40" r:id="rId15"/>
    <hyperlink ref="E16" r:id="rId16"/>
    <hyperlink ref="E78" r:id="rId17"/>
    <hyperlink ref="E76" r:id="rId18"/>
    <hyperlink ref="E62" r:id="rId19"/>
    <hyperlink ref="D62" r:id="rId20"/>
    <hyperlink ref="E68" r:id="rId21"/>
    <hyperlink ref="D53" r:id="rId22"/>
    <hyperlink ref="E52" r:id="rId23"/>
    <hyperlink ref="D52" r:id="rId24"/>
    <hyperlink ref="E54" r:id="rId25"/>
    <hyperlink ref="E17" r:id="rId26"/>
    <hyperlink ref="D54" r:id="rId27"/>
    <hyperlink ref="D17" r:id="rId28"/>
    <hyperlink ref="D73" r:id="rId29"/>
    <hyperlink ref="E73" r:id="rId30"/>
    <hyperlink ref="E74" r:id="rId31"/>
    <hyperlink ref="D74" r:id="rId32"/>
    <hyperlink ref="E75" r:id="rId33"/>
    <hyperlink ref="D75" r:id="rId34"/>
    <hyperlink ref="E80" r:id="rId35"/>
    <hyperlink ref="D80" r:id="rId36"/>
    <hyperlink ref="E83" r:id="rId37"/>
    <hyperlink ref="D83" r:id="rId38"/>
    <hyperlink ref="D102" r:id="rId39"/>
    <hyperlink ref="E102" r:id="rId40"/>
    <hyperlink ref="D103" r:id="rId41"/>
    <hyperlink ref="E103" r:id="rId42"/>
    <hyperlink ref="D100" r:id="rId43"/>
    <hyperlink ref="D104" r:id="rId44"/>
    <hyperlink ref="E104" r:id="rId45"/>
    <hyperlink ref="D107" r:id="rId46"/>
    <hyperlink ref="D105" r:id="rId47"/>
    <hyperlink ref="D106" r:id="rId48"/>
    <hyperlink ref="D82" r:id="rId49"/>
    <hyperlink ref="D41" r:id="rId50"/>
    <hyperlink ref="D32" r:id="rId51"/>
    <hyperlink ref="D42" r:id="rId52"/>
    <hyperlink ref="E108" r:id="rId53"/>
    <hyperlink ref="E110:E116" r:id="rId54" display="Pololu"/>
    <hyperlink ref="E22" r:id="rId55"/>
    <hyperlink ref="D22" r:id="rId56"/>
    <hyperlink ref="E23" r:id="rId57"/>
    <hyperlink ref="D23" r:id="rId58"/>
    <hyperlink ref="D31" r:id="rId59"/>
    <hyperlink ref="E31" r:id="rId60"/>
    <hyperlink ref="E57" r:id="rId61"/>
    <hyperlink ref="D57" r:id="rId62"/>
    <hyperlink ref="E61" r:id="rId63"/>
    <hyperlink ref="D61" r:id="rId64"/>
    <hyperlink ref="E70" r:id="rId65"/>
    <hyperlink ref="D70" r:id="rId66"/>
    <hyperlink ref="E71" r:id="rId67"/>
    <hyperlink ref="D71" r:id="rId68"/>
    <hyperlink ref="E87" r:id="rId69"/>
    <hyperlink ref="D87" r:id="rId70"/>
    <hyperlink ref="E88" r:id="rId71"/>
    <hyperlink ref="D88" r:id="rId72"/>
    <hyperlink ref="E30" r:id="rId73"/>
    <hyperlink ref="D25" r:id="rId74"/>
    <hyperlink ref="D26" r:id="rId75"/>
    <hyperlink ref="D27" r:id="rId76"/>
    <hyperlink ref="D28" r:id="rId77"/>
    <hyperlink ref="E33" r:id="rId78"/>
    <hyperlink ref="D33" r:id="rId79"/>
    <hyperlink ref="D37" r:id="rId80"/>
    <hyperlink ref="D35" r:id="rId81"/>
    <hyperlink ref="D36" r:id="rId82"/>
    <hyperlink ref="E38" r:id="rId83"/>
    <hyperlink ref="D43" r:id="rId84"/>
    <hyperlink ref="D45" r:id="rId85"/>
    <hyperlink ref="D46" r:id="rId86"/>
    <hyperlink ref="E48" r:id="rId87"/>
    <hyperlink ref="D39" r:id="rId88"/>
    <hyperlink ref="D51" r:id="rId89"/>
    <hyperlink ref="D50" r:id="rId90"/>
    <hyperlink ref="E50" r:id="rId91"/>
    <hyperlink ref="D64" r:id="rId92" location="PurchaseHistoryOrdersContainer?ipp=25&amp;Period=4&amp;cmid=2749&amp;_trksid=p2057872.m2749.l5118"/>
    <hyperlink ref="D65" r:id="rId93" location="PurchaseHistoryOrdersContainer?ipp=25&amp;Period=4&amp;cmid=2749&amp;_trksid=p2057872.m2749.l5118"/>
    <hyperlink ref="D77" r:id="rId94"/>
    <hyperlink ref="E77" r:id="rId95"/>
    <hyperlink ref="E89" r:id="rId96"/>
    <hyperlink ref="D90" r:id="rId97"/>
    <hyperlink ref="D93" r:id="rId98"/>
    <hyperlink ref="D81" r:id="rId99"/>
    <hyperlink ref="E92" r:id="rId100"/>
    <hyperlink ref="D92" r:id="rId101"/>
    <hyperlink ref="D18" r:id="rId102"/>
    <hyperlink ref="D99" r:id="rId103"/>
    <hyperlink ref="D19" r:id="rId104"/>
    <hyperlink ref="E19" r:id="rId105"/>
    <hyperlink ref="D47" r:id="rId106"/>
    <hyperlink ref="D58" r:id="rId107"/>
    <hyperlink ref="E59" r:id="rId108"/>
    <hyperlink ref="E69" r:id="rId109"/>
    <hyperlink ref="D91" r:id="rId110"/>
    <hyperlink ref="E3" r:id="rId111"/>
    <hyperlink ref="E4" r:id="rId112"/>
    <hyperlink ref="D20" r:id="rId113"/>
    <hyperlink ref="E21" r:id="rId114"/>
    <hyperlink ref="D29" r:id="rId115"/>
    <hyperlink ref="D85" r:id="rId116"/>
    <hyperlink ref="D84" r:id="rId117"/>
    <hyperlink ref="E110" r:id="rId118"/>
    <hyperlink ref="E111" r:id="rId119"/>
    <hyperlink ref="E115" r:id="rId120"/>
    <hyperlink ref="D101" r:id="rId121"/>
    <hyperlink ref="E79" r:id="rId122"/>
  </hyperlinks>
  <pageMargins left="0.7" right="0.7" top="0.75" bottom="0.75" header="0.3" footer="0.3"/>
  <pageSetup orientation="portrait" r:id="rId123"/>
  <tableParts count="1">
    <tablePart r:id="rId12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9"/>
  <sheetViews>
    <sheetView zoomScale="110" zoomScaleNormal="110" workbookViewId="0">
      <selection activeCell="D33" sqref="D33"/>
    </sheetView>
  </sheetViews>
  <sheetFormatPr defaultRowHeight="15"/>
  <cols>
    <col min="1" max="1" width="31.85546875" customWidth="1"/>
    <col min="2" max="2" width="9.140625" style="102" bestFit="1" customWidth="1"/>
    <col min="3" max="3" width="7.85546875" customWidth="1"/>
    <col min="4" max="4" width="11.28515625" customWidth="1"/>
    <col min="6" max="6" width="10.85546875" customWidth="1"/>
    <col min="7" max="7" width="7" customWidth="1"/>
    <col min="10" max="16" width="9.140625" style="1"/>
  </cols>
  <sheetData>
    <row r="1" spans="1:16">
      <c r="H1" s="1"/>
      <c r="I1" s="1"/>
      <c r="J1" s="193" t="s">
        <v>108</v>
      </c>
      <c r="K1" s="193"/>
      <c r="L1" s="193"/>
      <c r="M1" s="193" t="s">
        <v>107</v>
      </c>
      <c r="N1" s="193"/>
      <c r="O1" s="193"/>
      <c r="P1"/>
    </row>
    <row r="2" spans="1:16">
      <c r="A2" s="43" t="s">
        <v>103</v>
      </c>
      <c r="B2" s="101" t="s">
        <v>594</v>
      </c>
      <c r="C2" s="96" t="s">
        <v>583</v>
      </c>
      <c r="D2" s="95" t="s">
        <v>120</v>
      </c>
      <c r="E2" s="95" t="s">
        <v>106</v>
      </c>
      <c r="F2" s="95" t="s">
        <v>121</v>
      </c>
      <c r="G2" s="95" t="s">
        <v>122</v>
      </c>
      <c r="H2" s="95" t="s">
        <v>104</v>
      </c>
      <c r="I2" s="95" t="s">
        <v>612</v>
      </c>
      <c r="J2" s="44" t="s">
        <v>9</v>
      </c>
      <c r="K2" s="44" t="s">
        <v>16</v>
      </c>
      <c r="L2" s="44" t="s">
        <v>14</v>
      </c>
      <c r="M2" s="44" t="s">
        <v>127</v>
      </c>
      <c r="N2" s="44" t="s">
        <v>130</v>
      </c>
      <c r="O2" s="45" t="s">
        <v>131</v>
      </c>
      <c r="P2"/>
    </row>
    <row r="3" spans="1:16">
      <c r="A3" s="100" t="s">
        <v>610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/>
    </row>
    <row r="4" spans="1:16">
      <c r="A4" s="116" t="s">
        <v>111</v>
      </c>
      <c r="B4" s="117">
        <v>24160</v>
      </c>
      <c r="C4" s="118"/>
      <c r="D4" s="119">
        <v>4.88</v>
      </c>
      <c r="E4" s="119">
        <v>48</v>
      </c>
      <c r="F4" s="119">
        <v>100</v>
      </c>
      <c r="G4" s="120">
        <f>D4/100*F4</f>
        <v>4.88</v>
      </c>
      <c r="H4" s="121" t="s">
        <v>105</v>
      </c>
      <c r="I4" s="121" t="s">
        <v>617</v>
      </c>
      <c r="J4" s="122">
        <f>M4*25.4</f>
        <v>5.0545999999999998</v>
      </c>
      <c r="K4" s="122">
        <f>N4*25.4</f>
        <v>2.5146000000000002</v>
      </c>
      <c r="L4" s="122">
        <f>O4*25.4</f>
        <v>15.875</v>
      </c>
      <c r="M4" s="121">
        <v>0.19900000000000001</v>
      </c>
      <c r="N4" s="121">
        <v>9.9000000000000005E-2</v>
      </c>
      <c r="O4" s="123">
        <f>5/8</f>
        <v>0.625</v>
      </c>
      <c r="P4"/>
    </row>
    <row r="5" spans="1:16">
      <c r="A5" s="98" t="s">
        <v>112</v>
      </c>
      <c r="B5" s="103">
        <v>36008</v>
      </c>
      <c r="C5" s="39"/>
      <c r="D5" s="32">
        <v>8.1199999999999992</v>
      </c>
      <c r="E5" s="32">
        <v>48</v>
      </c>
      <c r="F5" s="32">
        <v>100</v>
      </c>
      <c r="G5" s="38">
        <f t="shared" ref="G5:G10" si="0">D5/100*F5</f>
        <v>8.1199999999999992</v>
      </c>
      <c r="H5" s="9" t="s">
        <v>105</v>
      </c>
      <c r="I5" s="9"/>
      <c r="J5" s="35" t="s">
        <v>109</v>
      </c>
      <c r="K5" s="37">
        <f>N5*25.4</f>
        <v>4.5719999999999992</v>
      </c>
      <c r="L5" s="35">
        <f t="shared" ref="L5:L10" si="1">O5*25.4</f>
        <v>1.6763999999999999</v>
      </c>
      <c r="M5" s="9" t="s">
        <v>109</v>
      </c>
      <c r="N5" s="36">
        <v>0.18</v>
      </c>
      <c r="O5" s="42">
        <v>6.6000000000000003E-2</v>
      </c>
      <c r="P5"/>
    </row>
    <row r="6" spans="1:16">
      <c r="A6" s="104" t="s">
        <v>110</v>
      </c>
      <c r="B6" s="105" t="s">
        <v>597</v>
      </c>
      <c r="C6" s="53"/>
      <c r="D6" s="52">
        <v>54.99</v>
      </c>
      <c r="E6" s="52">
        <v>22</v>
      </c>
      <c r="F6" s="52">
        <v>35</v>
      </c>
      <c r="G6" s="97">
        <f t="shared" si="0"/>
        <v>19.246500000000001</v>
      </c>
      <c r="H6" s="36" t="s">
        <v>113</v>
      </c>
      <c r="I6" s="36" t="s">
        <v>614</v>
      </c>
      <c r="J6" s="37">
        <f>M6*25.4</f>
        <v>2.8702000000000001</v>
      </c>
      <c r="K6" s="37">
        <f>N6*25.4</f>
        <v>1.3461999999999998</v>
      </c>
      <c r="L6" s="37">
        <f t="shared" si="1"/>
        <v>19.049999999999997</v>
      </c>
      <c r="M6" s="36">
        <v>0.113</v>
      </c>
      <c r="N6" s="36">
        <v>5.2999999999999999E-2</v>
      </c>
      <c r="O6" s="143">
        <f>3/4</f>
        <v>0.75</v>
      </c>
      <c r="P6"/>
    </row>
    <row r="7" spans="1:16">
      <c r="A7" s="113" t="s">
        <v>114</v>
      </c>
      <c r="B7" s="107" t="s">
        <v>595</v>
      </c>
      <c r="C7" s="114"/>
      <c r="D7" s="109">
        <v>6.42</v>
      </c>
      <c r="E7" s="109">
        <v>4</v>
      </c>
      <c r="F7" s="109">
        <v>6</v>
      </c>
      <c r="G7" s="110">
        <f t="shared" si="0"/>
        <v>0.38519999999999999</v>
      </c>
      <c r="H7" s="111" t="s">
        <v>115</v>
      </c>
      <c r="I7" s="111" t="s">
        <v>615</v>
      </c>
      <c r="J7" s="112">
        <v>5.5</v>
      </c>
      <c r="K7" s="112"/>
      <c r="L7" s="112">
        <v>10</v>
      </c>
      <c r="M7" s="111"/>
      <c r="N7" s="111"/>
      <c r="O7" s="115"/>
      <c r="P7"/>
    </row>
    <row r="8" spans="1:16">
      <c r="A8" s="98" t="s">
        <v>116</v>
      </c>
      <c r="B8" s="103" t="s">
        <v>596</v>
      </c>
      <c r="C8" s="39"/>
      <c r="D8" s="32">
        <f>0.34*100</f>
        <v>34</v>
      </c>
      <c r="E8" s="52">
        <v>38</v>
      </c>
      <c r="F8" s="52">
        <v>60</v>
      </c>
      <c r="G8" s="38">
        <f t="shared" si="0"/>
        <v>20.400000000000002</v>
      </c>
      <c r="H8" s="9" t="s">
        <v>119</v>
      </c>
      <c r="I8" s="9"/>
      <c r="J8" s="35">
        <f>M8*25.4</f>
        <v>4.7624999999999993</v>
      </c>
      <c r="K8" s="35" t="s">
        <v>109</v>
      </c>
      <c r="L8" s="35">
        <f t="shared" si="1"/>
        <v>12.7</v>
      </c>
      <c r="M8" s="9">
        <f>3/16</f>
        <v>0.1875</v>
      </c>
      <c r="N8" s="9" t="s">
        <v>109</v>
      </c>
      <c r="O8" s="42">
        <f>1/2</f>
        <v>0.5</v>
      </c>
      <c r="P8"/>
    </row>
    <row r="9" spans="1:16">
      <c r="A9" s="98" t="s">
        <v>117</v>
      </c>
      <c r="B9" s="103" t="s">
        <v>598</v>
      </c>
      <c r="C9" s="39"/>
      <c r="D9" s="32">
        <v>4.46</v>
      </c>
      <c r="E9" s="52">
        <v>38</v>
      </c>
      <c r="F9" s="52">
        <v>100</v>
      </c>
      <c r="G9" s="38">
        <f t="shared" si="0"/>
        <v>4.46</v>
      </c>
      <c r="H9" s="9" t="s">
        <v>119</v>
      </c>
      <c r="I9" s="9" t="s">
        <v>614</v>
      </c>
      <c r="J9" s="35">
        <f>M9*25.4</f>
        <v>4.6481999999999992</v>
      </c>
      <c r="K9" s="35"/>
      <c r="L9" s="35">
        <f t="shared" si="1"/>
        <v>4.7624999999999993</v>
      </c>
      <c r="M9" s="9">
        <v>0.183</v>
      </c>
      <c r="N9" s="36"/>
      <c r="O9" s="42">
        <f>3/16</f>
        <v>0.1875</v>
      </c>
      <c r="P9"/>
    </row>
    <row r="10" spans="1:16">
      <c r="A10" s="124" t="s">
        <v>118</v>
      </c>
      <c r="B10" s="125" t="s">
        <v>599</v>
      </c>
      <c r="C10" s="126"/>
      <c r="D10" s="127">
        <v>4.2300000000000004</v>
      </c>
      <c r="E10" s="127">
        <v>38</v>
      </c>
      <c r="F10" s="127">
        <v>100</v>
      </c>
      <c r="G10" s="128">
        <f t="shared" si="0"/>
        <v>4.2300000000000004</v>
      </c>
      <c r="H10" s="129" t="s">
        <v>119</v>
      </c>
      <c r="I10" s="129" t="s">
        <v>616</v>
      </c>
      <c r="J10" s="130">
        <f>M10*25.4</f>
        <v>5.3847999999999994</v>
      </c>
      <c r="K10" s="130"/>
      <c r="L10" s="130">
        <f t="shared" si="1"/>
        <v>9.6519999999999992</v>
      </c>
      <c r="M10" s="129">
        <v>0.21199999999999999</v>
      </c>
      <c r="N10" s="129"/>
      <c r="O10" s="131">
        <v>0.38</v>
      </c>
      <c r="P10"/>
    </row>
    <row r="11" spans="1:16">
      <c r="A11" s="99" t="s">
        <v>123</v>
      </c>
      <c r="B11" s="103"/>
      <c r="C11" s="40"/>
      <c r="D11" s="32"/>
      <c r="E11" s="32"/>
      <c r="F11" s="32"/>
      <c r="G11" s="38">
        <f>2.61+2.74+3.83</f>
        <v>9.18</v>
      </c>
      <c r="H11" s="9"/>
      <c r="I11" s="9"/>
      <c r="J11" s="35"/>
      <c r="K11" s="35"/>
      <c r="L11" s="35"/>
      <c r="M11" s="9"/>
      <c r="N11" s="36"/>
      <c r="O11" s="42"/>
      <c r="P11"/>
    </row>
    <row r="12" spans="1:16">
      <c r="A12" s="100" t="s">
        <v>610</v>
      </c>
      <c r="B12" s="103"/>
      <c r="C12" s="40"/>
      <c r="D12" s="32"/>
      <c r="E12" s="32"/>
      <c r="F12" s="32"/>
      <c r="G12" s="32"/>
      <c r="H12" s="9"/>
      <c r="I12" s="9"/>
      <c r="J12" s="35"/>
      <c r="K12" s="35"/>
      <c r="L12" s="35"/>
      <c r="M12" s="9"/>
      <c r="N12" s="9"/>
      <c r="O12" s="42"/>
      <c r="P12"/>
    </row>
    <row r="13" spans="1:16">
      <c r="A13" s="141" t="s">
        <v>124</v>
      </c>
      <c r="B13" s="133" t="s">
        <v>707</v>
      </c>
      <c r="C13" s="134" t="s">
        <v>582</v>
      </c>
      <c r="D13" s="135">
        <f>0.07*100</f>
        <v>7.0000000000000009</v>
      </c>
      <c r="E13" s="135">
        <v>2</v>
      </c>
      <c r="F13" s="135">
        <v>40</v>
      </c>
      <c r="G13" s="137">
        <f>D13/100*F13</f>
        <v>2.8000000000000003</v>
      </c>
      <c r="H13" s="138" t="s">
        <v>128</v>
      </c>
      <c r="I13" s="138" t="s">
        <v>613</v>
      </c>
      <c r="J13" s="139"/>
      <c r="K13" s="139"/>
      <c r="L13" s="139">
        <f>O13*25.4</f>
        <v>25.4</v>
      </c>
      <c r="M13" s="138"/>
      <c r="N13" s="138"/>
      <c r="O13" s="142">
        <v>1</v>
      </c>
      <c r="P13"/>
    </row>
    <row r="14" spans="1:16">
      <c r="A14" s="104" t="s">
        <v>588</v>
      </c>
      <c r="B14" s="105">
        <v>47057</v>
      </c>
      <c r="C14" s="41"/>
      <c r="D14" s="32">
        <f>2.99*100</f>
        <v>299</v>
      </c>
      <c r="E14" s="32">
        <v>1</v>
      </c>
      <c r="F14" s="32">
        <v>1</v>
      </c>
      <c r="G14" s="38">
        <f>D14/100*F14</f>
        <v>2.99</v>
      </c>
      <c r="H14" s="9" t="s">
        <v>591</v>
      </c>
      <c r="I14" s="9"/>
      <c r="J14" s="9"/>
      <c r="K14" s="37">
        <f>N14*25.4</f>
        <v>6.35</v>
      </c>
      <c r="L14" s="9" t="s">
        <v>590</v>
      </c>
      <c r="M14" s="9"/>
      <c r="N14" s="9">
        <f>1/4</f>
        <v>0.25</v>
      </c>
      <c r="O14" s="42"/>
      <c r="P14"/>
    </row>
    <row r="15" spans="1:16">
      <c r="A15" s="106" t="s">
        <v>593</v>
      </c>
      <c r="B15" s="105">
        <v>36201</v>
      </c>
      <c r="C15" s="53"/>
      <c r="D15" s="32">
        <f>0.07*100</f>
        <v>7.0000000000000009</v>
      </c>
      <c r="E15" s="52">
        <v>8</v>
      </c>
      <c r="F15" s="32">
        <v>30</v>
      </c>
      <c r="G15" s="38">
        <f>D15/100*F15</f>
        <v>2.1</v>
      </c>
      <c r="H15" s="9" t="s">
        <v>591</v>
      </c>
      <c r="I15" s="9"/>
      <c r="J15" s="9"/>
      <c r="K15" s="37"/>
      <c r="L15" s="35">
        <f>O15*25.4</f>
        <v>3.9623999999999997</v>
      </c>
      <c r="M15" s="9"/>
      <c r="N15" s="9"/>
      <c r="O15" s="42">
        <v>0.156</v>
      </c>
      <c r="P15"/>
    </row>
    <row r="16" spans="1:16">
      <c r="A16" s="106" t="s">
        <v>592</v>
      </c>
      <c r="B16" s="105" t="s">
        <v>600</v>
      </c>
      <c r="C16" s="53"/>
      <c r="D16" s="32">
        <f>0.06*100</f>
        <v>6</v>
      </c>
      <c r="E16" s="52">
        <v>12</v>
      </c>
      <c r="F16" s="32">
        <v>30</v>
      </c>
      <c r="G16" s="38">
        <f>D16/100*F16</f>
        <v>1.7999999999999998</v>
      </c>
      <c r="H16" s="9" t="s">
        <v>589</v>
      </c>
      <c r="I16" s="9"/>
      <c r="J16" s="9"/>
      <c r="K16" s="37"/>
      <c r="L16" s="9"/>
      <c r="M16" s="9"/>
      <c r="N16" s="9"/>
      <c r="O16" s="42"/>
      <c r="P16"/>
    </row>
    <row r="17" spans="1:16">
      <c r="A17" s="104" t="s">
        <v>132</v>
      </c>
      <c r="B17" s="105" t="s">
        <v>601</v>
      </c>
      <c r="C17" s="41" t="s">
        <v>582</v>
      </c>
      <c r="D17" s="52">
        <f>0.08*100</f>
        <v>8</v>
      </c>
      <c r="E17" s="52">
        <v>16</v>
      </c>
      <c r="F17" s="52">
        <v>50</v>
      </c>
      <c r="G17" s="97">
        <f>D17/100*F17</f>
        <v>4</v>
      </c>
      <c r="H17" s="36" t="s">
        <v>115</v>
      </c>
      <c r="I17" s="36" t="s">
        <v>614</v>
      </c>
      <c r="J17" s="36"/>
      <c r="K17" s="36"/>
      <c r="L17" s="36">
        <v>4</v>
      </c>
      <c r="M17" s="36"/>
      <c r="N17" s="36"/>
      <c r="O17" s="143"/>
      <c r="P17"/>
    </row>
    <row r="18" spans="1:16">
      <c r="A18" s="104" t="s">
        <v>580</v>
      </c>
      <c r="B18" s="105" t="s">
        <v>602</v>
      </c>
      <c r="C18" s="39"/>
      <c r="D18" s="50">
        <v>6</v>
      </c>
      <c r="E18" s="52">
        <f>(10+4+15+16+9+20)/2</f>
        <v>37</v>
      </c>
      <c r="F18" s="51">
        <v>100</v>
      </c>
      <c r="G18" s="38">
        <f t="shared" ref="G18:G23" si="2">D18/100*F18</f>
        <v>6</v>
      </c>
      <c r="H18" s="9" t="s">
        <v>128</v>
      </c>
      <c r="I18" s="9"/>
      <c r="J18" s="9"/>
      <c r="K18" s="9"/>
      <c r="L18" s="35">
        <f>O18*25.4</f>
        <v>3.302</v>
      </c>
      <c r="M18" s="9"/>
      <c r="N18" s="9"/>
      <c r="O18" s="42">
        <v>0.13</v>
      </c>
      <c r="P18"/>
    </row>
    <row r="19" spans="1:16">
      <c r="A19" s="132" t="s">
        <v>586</v>
      </c>
      <c r="B19" s="133" t="s">
        <v>603</v>
      </c>
      <c r="C19" s="134" t="s">
        <v>582</v>
      </c>
      <c r="D19" s="135">
        <v>6</v>
      </c>
      <c r="E19" s="135">
        <f>(10+4+15+16+9+20)/2</f>
        <v>37</v>
      </c>
      <c r="F19" s="136">
        <v>100</v>
      </c>
      <c r="G19" s="137">
        <f t="shared" si="2"/>
        <v>6</v>
      </c>
      <c r="H19" s="138" t="s">
        <v>128</v>
      </c>
      <c r="I19" s="138" t="s">
        <v>613</v>
      </c>
      <c r="J19" s="139"/>
      <c r="K19" s="139"/>
      <c r="L19" s="139">
        <f>O19*25.4</f>
        <v>6.35</v>
      </c>
      <c r="M19" s="138"/>
      <c r="N19" s="138"/>
      <c r="O19" s="140">
        <f>1/4</f>
        <v>0.25</v>
      </c>
      <c r="P19"/>
    </row>
    <row r="20" spans="1:16">
      <c r="A20" s="132" t="s">
        <v>587</v>
      </c>
      <c r="B20" s="133" t="s">
        <v>604</v>
      </c>
      <c r="C20" s="134" t="s">
        <v>582</v>
      </c>
      <c r="D20" s="135">
        <v>6</v>
      </c>
      <c r="E20" s="135">
        <f>(10+4+15+16+9+20)/2</f>
        <v>37</v>
      </c>
      <c r="F20" s="136">
        <v>100</v>
      </c>
      <c r="G20" s="137">
        <f t="shared" si="2"/>
        <v>6</v>
      </c>
      <c r="H20" s="138" t="s">
        <v>128</v>
      </c>
      <c r="I20" s="138" t="s">
        <v>613</v>
      </c>
      <c r="J20" s="139"/>
      <c r="K20" s="139"/>
      <c r="L20" s="139">
        <f>O20*25.4</f>
        <v>7.9375</v>
      </c>
      <c r="M20" s="138"/>
      <c r="N20" s="138"/>
      <c r="O20" s="140">
        <f>5/16</f>
        <v>0.3125</v>
      </c>
      <c r="P20"/>
    </row>
    <row r="21" spans="1:16">
      <c r="A21" s="113" t="s">
        <v>581</v>
      </c>
      <c r="B21" s="107" t="s">
        <v>605</v>
      </c>
      <c r="C21" s="108" t="s">
        <v>582</v>
      </c>
      <c r="D21" s="109">
        <v>2</v>
      </c>
      <c r="E21" s="109">
        <f>13+28+6+4+5+4</f>
        <v>60</v>
      </c>
      <c r="F21" s="109">
        <v>150</v>
      </c>
      <c r="G21" s="110">
        <f t="shared" si="2"/>
        <v>3</v>
      </c>
      <c r="H21" s="111" t="s">
        <v>115</v>
      </c>
      <c r="I21" s="111" t="s">
        <v>615</v>
      </c>
      <c r="J21" s="112"/>
      <c r="K21" s="112"/>
      <c r="L21" s="112">
        <v>6</v>
      </c>
      <c r="M21" s="111"/>
      <c r="N21" s="111"/>
      <c r="O21" s="115"/>
      <c r="P21"/>
    </row>
    <row r="22" spans="1:16">
      <c r="A22" s="144" t="s">
        <v>585</v>
      </c>
      <c r="B22" s="107" t="s">
        <v>606</v>
      </c>
      <c r="C22" s="108" t="s">
        <v>582</v>
      </c>
      <c r="D22" s="145">
        <v>6</v>
      </c>
      <c r="E22" s="145">
        <f>4+8+6</f>
        <v>18</v>
      </c>
      <c r="F22" s="145">
        <v>100</v>
      </c>
      <c r="G22" s="110">
        <f t="shared" si="2"/>
        <v>6</v>
      </c>
      <c r="H22" s="111" t="s">
        <v>115</v>
      </c>
      <c r="I22" s="111" t="s">
        <v>615</v>
      </c>
      <c r="J22" s="146"/>
      <c r="K22" s="146"/>
      <c r="L22" s="146">
        <v>16</v>
      </c>
      <c r="M22" s="146"/>
      <c r="N22" s="146"/>
      <c r="O22" s="147"/>
      <c r="P22"/>
    </row>
    <row r="23" spans="1:16">
      <c r="A23" s="104" t="s">
        <v>584</v>
      </c>
      <c r="B23" s="105" t="s">
        <v>607</v>
      </c>
      <c r="C23" s="39"/>
      <c r="D23" s="32">
        <v>3</v>
      </c>
      <c r="E23" s="84">
        <v>4</v>
      </c>
      <c r="F23" s="52">
        <v>100</v>
      </c>
      <c r="G23" s="38">
        <f t="shared" si="2"/>
        <v>3</v>
      </c>
      <c r="H23" s="9" t="s">
        <v>115</v>
      </c>
      <c r="I23" s="9"/>
      <c r="J23" s="9"/>
      <c r="K23" s="9"/>
      <c r="L23" s="9">
        <v>2.4</v>
      </c>
      <c r="M23" s="9"/>
      <c r="N23" s="9"/>
      <c r="O23" s="42"/>
      <c r="P23"/>
    </row>
    <row r="24" spans="1:16">
      <c r="A24" s="149" t="s">
        <v>123</v>
      </c>
      <c r="B24" s="105"/>
      <c r="C24" s="53"/>
      <c r="D24" s="52"/>
      <c r="E24" s="52"/>
      <c r="F24" s="52"/>
      <c r="G24" s="97">
        <f>0.53+4.95</f>
        <v>5.48</v>
      </c>
      <c r="H24" s="9"/>
      <c r="I24" s="9"/>
      <c r="J24" s="9"/>
      <c r="K24" s="9"/>
      <c r="L24" s="9"/>
      <c r="M24" s="9"/>
      <c r="N24" s="9"/>
      <c r="O24" s="42"/>
      <c r="P24"/>
    </row>
    <row r="25" spans="1:16">
      <c r="A25" s="100" t="s">
        <v>611</v>
      </c>
      <c r="B25" s="103"/>
      <c r="C25" s="53"/>
      <c r="D25" s="52"/>
      <c r="E25" s="52"/>
      <c r="F25" s="52"/>
      <c r="G25" s="97"/>
      <c r="H25" s="9"/>
      <c r="I25" s="9"/>
      <c r="J25" s="9"/>
      <c r="K25" s="9"/>
      <c r="L25" s="9"/>
      <c r="M25" s="9"/>
      <c r="N25" s="9"/>
      <c r="O25" s="42"/>
      <c r="P25"/>
    </row>
    <row r="26" spans="1:16">
      <c r="A26" s="104" t="s">
        <v>133</v>
      </c>
      <c r="B26" s="105" t="s">
        <v>134</v>
      </c>
      <c r="C26" s="53"/>
      <c r="D26" s="32">
        <f>0.0969*100</f>
        <v>9.69</v>
      </c>
      <c r="E26" s="32">
        <v>15</v>
      </c>
      <c r="F26" s="32">
        <v>100</v>
      </c>
      <c r="G26" s="38">
        <f>D26/100*F26</f>
        <v>9.69</v>
      </c>
      <c r="H26" s="9"/>
      <c r="I26" s="9"/>
      <c r="J26" s="9"/>
      <c r="K26" s="9"/>
      <c r="L26" s="9"/>
      <c r="M26" s="9"/>
      <c r="N26" s="9"/>
      <c r="O26" s="42"/>
      <c r="P26"/>
    </row>
    <row r="27" spans="1:16">
      <c r="A27" s="104" t="s">
        <v>129</v>
      </c>
      <c r="B27" s="105"/>
      <c r="C27" s="39"/>
      <c r="D27" s="32">
        <f>0.5008*100</f>
        <v>50.080000000000005</v>
      </c>
      <c r="E27" s="52">
        <f>27+8</f>
        <v>35</v>
      </c>
      <c r="F27" s="52">
        <v>50</v>
      </c>
      <c r="G27" s="38">
        <f>D27/100*F27</f>
        <v>25.040000000000003</v>
      </c>
      <c r="H27" s="9" t="s">
        <v>128</v>
      </c>
      <c r="I27" s="9"/>
      <c r="J27" s="9"/>
      <c r="K27" s="9"/>
      <c r="L27" s="9"/>
      <c r="M27" s="9"/>
      <c r="N27" s="9"/>
      <c r="O27" s="42"/>
      <c r="P27"/>
    </row>
    <row r="28" spans="1:16">
      <c r="A28" s="149" t="s">
        <v>123</v>
      </c>
      <c r="B28" s="105"/>
      <c r="C28" s="53"/>
      <c r="D28" s="52"/>
      <c r="E28" s="52"/>
      <c r="F28" s="52"/>
      <c r="G28" s="97">
        <f>8+3.61+5.05</f>
        <v>16.66</v>
      </c>
      <c r="H28" s="9"/>
      <c r="I28" s="9"/>
      <c r="J28" s="9"/>
      <c r="K28" s="9"/>
      <c r="L28" s="9"/>
      <c r="M28" s="9"/>
      <c r="N28" s="9"/>
      <c r="O28" s="42"/>
      <c r="P28"/>
    </row>
    <row r="29" spans="1:16">
      <c r="A29" s="2" t="s">
        <v>608</v>
      </c>
      <c r="B29" s="103"/>
      <c r="C29" s="46"/>
      <c r="D29" s="47"/>
      <c r="E29" s="47"/>
      <c r="F29" s="47"/>
      <c r="G29" s="94">
        <f>SUBTOTAL(109,Table1[Cost])</f>
        <v>171.46169999999998</v>
      </c>
      <c r="H29" s="48"/>
      <c r="I29" s="48"/>
      <c r="J29" s="48"/>
      <c r="K29" s="48"/>
      <c r="L29" s="48"/>
      <c r="M29" s="48"/>
      <c r="N29" s="48"/>
      <c r="O29" s="49"/>
      <c r="P29"/>
    </row>
  </sheetData>
  <mergeCells count="2">
    <mergeCell ref="J1:L1"/>
    <mergeCell ref="M1:O1"/>
  </mergeCells>
  <conditionalFormatting sqref="D15:D28 D4:D1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{D7E5CB90-6B74-47B1-86D5-5534050103B7}</x14:id>
        </ext>
      </extLst>
    </cfRule>
  </conditionalFormatting>
  <hyperlinks>
    <hyperlink ref="A4" r:id="rId1" display="Stepper gauge screw"/>
    <hyperlink ref="A5" r:id="rId2" display="Stepper gauge nut"/>
    <hyperlink ref="A6" r:id="rId3"/>
    <hyperlink ref="A7" r:id="rId4"/>
    <hyperlink ref="A8" r:id="rId5"/>
    <hyperlink ref="A10" r:id="rId6"/>
    <hyperlink ref="A9" r:id="rId7"/>
    <hyperlink ref="A27" r:id="rId8" display="611 Bracket"/>
    <hyperlink ref="A26" r:id="rId9" display="Cable tie mount"/>
    <hyperlink ref="A21" r:id="rId10"/>
    <hyperlink ref="A18" r:id="rId11"/>
    <hyperlink ref="A22" r:id="rId12"/>
    <hyperlink ref="A23" r:id="rId13"/>
    <hyperlink ref="A19" r:id="rId14" display="&quot;Bracket&quot; Screw"/>
    <hyperlink ref="A20" r:id="rId15"/>
    <hyperlink ref="A14" r:id="rId16"/>
    <hyperlink ref="A13" r:id="rId17"/>
    <hyperlink ref="A15" r:id="rId18"/>
    <hyperlink ref="A16" r:id="rId19"/>
    <hyperlink ref="A17" r:id="rId20"/>
  </hyperlinks>
  <pageMargins left="0.7" right="0.7" top="0.75" bottom="0.75" header="0.3" footer="0.3"/>
  <pageSetup orientation="portrait" r:id="rId21"/>
  <drawing r:id="rId22"/>
  <legacyDrawing r:id="rId23"/>
  <tableParts count="1">
    <tablePart r:id="rId2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E5CB90-6B74-47B1-86D5-5534050103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D15:D28 D4:D13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356"/>
  <sheetViews>
    <sheetView tabSelected="1" zoomScale="130" zoomScaleNormal="130" workbookViewId="0">
      <pane ySplit="1" topLeftCell="A128" activePane="bottomLeft" state="frozen"/>
      <selection pane="bottomLeft" activeCell="A100" sqref="A100:B129"/>
    </sheetView>
  </sheetViews>
  <sheetFormatPr defaultRowHeight="15"/>
  <cols>
    <col min="1" max="1" width="10.28515625" bestFit="1" customWidth="1"/>
    <col min="2" max="2" width="8.5703125" style="10" bestFit="1" customWidth="1"/>
    <col min="3" max="3" width="10" style="10" customWidth="1"/>
    <col min="4" max="4" width="18.28515625" style="10" bestFit="1" customWidth="1"/>
    <col min="5" max="5" width="7" style="10" bestFit="1" customWidth="1"/>
    <col min="6" max="6" width="44.28515625" customWidth="1"/>
    <col min="7" max="7" width="2.5703125" customWidth="1"/>
    <col min="8" max="8" width="3.7109375" bestFit="1" customWidth="1"/>
    <col min="9" max="9" width="14.28515625" style="1" customWidth="1"/>
    <col min="10" max="20" width="4.140625" customWidth="1"/>
    <col min="21" max="21" width="5.7109375" customWidth="1"/>
    <col min="22" max="22" width="4.85546875" customWidth="1"/>
    <col min="23" max="23" width="6.42578125" customWidth="1"/>
    <col min="25" max="25" width="19.140625" customWidth="1"/>
    <col min="27" max="27" width="35.5703125" customWidth="1"/>
  </cols>
  <sheetData>
    <row r="1" spans="1:27">
      <c r="A1" t="s">
        <v>313</v>
      </c>
      <c r="B1" t="s">
        <v>312</v>
      </c>
      <c r="C1" t="s">
        <v>8</v>
      </c>
      <c r="D1" t="s">
        <v>311</v>
      </c>
      <c r="E1" t="s">
        <v>310</v>
      </c>
      <c r="F1" t="s">
        <v>309</v>
      </c>
      <c r="I1" s="9"/>
      <c r="J1" s="71" t="s">
        <v>9</v>
      </c>
      <c r="K1" s="71" t="s">
        <v>16</v>
      </c>
      <c r="L1" s="71" t="s">
        <v>14</v>
      </c>
      <c r="M1" s="71" t="s">
        <v>24</v>
      </c>
      <c r="N1" s="71" t="s">
        <v>23</v>
      </c>
      <c r="O1" s="71" t="s">
        <v>25</v>
      </c>
      <c r="P1" s="71" t="s">
        <v>22</v>
      </c>
      <c r="Q1" s="71" t="s">
        <v>26</v>
      </c>
      <c r="R1" s="71" t="s">
        <v>21</v>
      </c>
      <c r="S1" s="71" t="s">
        <v>335</v>
      </c>
      <c r="T1" s="71" t="s">
        <v>315</v>
      </c>
      <c r="U1" s="70" t="s">
        <v>307</v>
      </c>
      <c r="W1" s="205" t="s">
        <v>312</v>
      </c>
      <c r="X1" s="205" t="s">
        <v>8</v>
      </c>
      <c r="Y1" s="205" t="s">
        <v>311</v>
      </c>
      <c r="Z1" s="205" t="s">
        <v>310</v>
      </c>
      <c r="AA1" s="205" t="s">
        <v>309</v>
      </c>
    </row>
    <row r="2" spans="1:27" ht="14.45" customHeight="1">
      <c r="A2" s="54" t="s">
        <v>285</v>
      </c>
      <c r="B2" s="89" t="s">
        <v>301</v>
      </c>
      <c r="C2" t="s">
        <v>315</v>
      </c>
      <c r="D2" s="54" t="s">
        <v>258</v>
      </c>
      <c r="E2" t="s">
        <v>134</v>
      </c>
      <c r="F2" t="s">
        <v>465</v>
      </c>
      <c r="I2" s="69" t="s">
        <v>307</v>
      </c>
      <c r="J2" s="68">
        <f>COUNTIFS($C:$C,J$1,$D:$D,"&lt;&gt;") + 4</f>
        <v>8</v>
      </c>
      <c r="K2" s="68">
        <f>COUNTIFS($C:$C,K$1,$D:$D,"&lt;&gt;") + 4</f>
        <v>14</v>
      </c>
      <c r="L2" s="68">
        <f>COUNTIFS($C:$C,L$1,$D:$D,"&lt;&gt;") + 4</f>
        <v>21</v>
      </c>
      <c r="M2" s="68">
        <f>COUNTIFS($C:$C,M$1,$D:$D,"&lt;&gt;") + 4</f>
        <v>38</v>
      </c>
      <c r="N2" s="68">
        <f>COUNTIFS($C:$C,N$1,$D:$D,"&lt;&gt;") + 4</f>
        <v>25</v>
      </c>
      <c r="O2" s="68">
        <f>COUNTIFS($C:$C,O$1,$D:$D,"&lt;&gt;") + 4</f>
        <v>15</v>
      </c>
      <c r="P2" s="68">
        <f>COUNTIFS($C:$C,P$1,$D:$D,"&lt;&gt;") + 4</f>
        <v>27</v>
      </c>
      <c r="Q2" s="68">
        <f>COUNTIFS($C:$C,Q$1,$D:$D,"&lt;&gt;") + 4</f>
        <v>16</v>
      </c>
      <c r="R2" s="68">
        <f>COUNTIFS($C:$C,R$1,$D:$D,"&lt;&gt;") + 4</f>
        <v>32</v>
      </c>
      <c r="S2" s="68">
        <f>COUNTIFS($C:$C,S$1,$D:$D,"&lt;&gt;") + 4</f>
        <v>19</v>
      </c>
      <c r="T2" s="84">
        <f>COUNTIFS($C:$C,T$1,$D:$D,"&lt;&gt;")</f>
        <v>42</v>
      </c>
      <c r="U2" s="67"/>
    </row>
    <row r="3" spans="1:27">
      <c r="A3" t="s">
        <v>285</v>
      </c>
      <c r="B3" s="89" t="s">
        <v>299</v>
      </c>
      <c r="C3" t="s">
        <v>315</v>
      </c>
      <c r="D3" s="54" t="s">
        <v>258</v>
      </c>
      <c r="E3" t="s">
        <v>134</v>
      </c>
      <c r="F3" t="s">
        <v>466</v>
      </c>
      <c r="H3" s="194" t="s">
        <v>312</v>
      </c>
      <c r="I3" s="158" t="s">
        <v>148</v>
      </c>
      <c r="J3" s="32">
        <f>COUNTIFS($C:$C, J$1,$D:$D, "Digital Input*")</f>
        <v>2</v>
      </c>
      <c r="K3" s="32">
        <f>COUNTIFS($C:$C, K$1,$D:$D, "Digital Input*")</f>
        <v>7</v>
      </c>
      <c r="L3" s="32">
        <f>COUNTIFS($C:$C, L$1,$D:$D, "Digital Input*")</f>
        <v>0</v>
      </c>
      <c r="M3" s="32">
        <f>COUNTIFS($C:$C, M$1,$D:$D, "Digital Input*")</f>
        <v>17</v>
      </c>
      <c r="N3" s="32">
        <f>COUNTIFS($C:$C, N$1,$D:$D, "Digital Input*")</f>
        <v>16</v>
      </c>
      <c r="O3" s="32">
        <f>COUNTIFS($C:$C, O$1,$D:$D, "Digital Input*")</f>
        <v>4</v>
      </c>
      <c r="P3" s="32">
        <f>COUNTIFS($C:$C, P$1,$D:$D, "Digital Input*")</f>
        <v>1</v>
      </c>
      <c r="Q3" s="32">
        <f>COUNTIFS($C:$C, Q$1,$D:$D, "Digital Input*")</f>
        <v>6</v>
      </c>
      <c r="R3" s="32">
        <f>COUNTIFS($C:$C, R$1,$D:$D, "Digital Input*")</f>
        <v>1</v>
      </c>
      <c r="S3" s="32">
        <f>COUNTIFS($C:$C, S$1,$D:$D, "Digital Input*")</f>
        <v>1</v>
      </c>
      <c r="T3" s="32">
        <f>COUNTIFS($C:$C, T$1,$D:$D, "Digital Input*")</f>
        <v>0</v>
      </c>
      <c r="U3" s="32">
        <f>COUNTIF($D:$D, "Digital Input*")</f>
        <v>55</v>
      </c>
      <c r="V3" s="195">
        <f>SUM(U3:U6)</f>
        <v>247</v>
      </c>
    </row>
    <row r="4" spans="1:27">
      <c r="A4" t="s">
        <v>285</v>
      </c>
      <c r="B4" s="89" t="s">
        <v>127</v>
      </c>
      <c r="C4" t="s">
        <v>315</v>
      </c>
      <c r="D4" s="54" t="s">
        <v>258</v>
      </c>
      <c r="E4" t="s">
        <v>134</v>
      </c>
      <c r="F4" t="s">
        <v>467</v>
      </c>
      <c r="H4" s="194"/>
      <c r="I4" s="158" t="s">
        <v>305</v>
      </c>
      <c r="J4" s="32">
        <f>COUNTIFS($C:$C, J$1,$D:$D, $I4)</f>
        <v>1</v>
      </c>
      <c r="K4" s="32">
        <f>COUNTIFS($C:$C, K$1,$D:$D, $I4)</f>
        <v>3</v>
      </c>
      <c r="L4" s="32">
        <f>COUNTIFS($C:$C, L$1,$D:$D, $I4)</f>
        <v>0</v>
      </c>
      <c r="M4" s="32">
        <f>COUNTIFS($C:$C, M$1,$D:$D, $I4)</f>
        <v>0</v>
      </c>
      <c r="N4" s="32">
        <f>COUNTIFS($C:$C, N$1,$D:$D, $I4)</f>
        <v>0</v>
      </c>
      <c r="O4" s="32">
        <f>COUNTIFS($C:$C, O$1,$D:$D, $I4)</f>
        <v>2</v>
      </c>
      <c r="P4" s="32">
        <f>COUNTIFS($C:$C, P$1,$D:$D, $I4)</f>
        <v>0</v>
      </c>
      <c r="Q4" s="32">
        <f>COUNTIFS($C:$C, Q$1,$D:$D, $I4)</f>
        <v>0</v>
      </c>
      <c r="R4" s="32">
        <f>COUNTIFS($C:$C, R$1,$D:$D, $I4)</f>
        <v>0</v>
      </c>
      <c r="S4" s="32">
        <f>COUNTIFS($C:$C, S$1,$D:$D, $I4)</f>
        <v>0</v>
      </c>
      <c r="T4" s="32">
        <f>COUNTIFS($C:$C, T$1,$D:$D, $I4)</f>
        <v>0</v>
      </c>
      <c r="U4" s="32">
        <f>COUNTIF($D:$D, $I4)</f>
        <v>6</v>
      </c>
      <c r="V4" s="195"/>
    </row>
    <row r="5" spans="1:27">
      <c r="A5" s="74" t="s">
        <v>285</v>
      </c>
      <c r="B5" s="74" t="s">
        <v>298</v>
      </c>
      <c r="H5" s="194"/>
      <c r="I5" s="158" t="s">
        <v>258</v>
      </c>
      <c r="J5" s="32">
        <f>COUNTIFS($C:$C, J$1,$D:$D, $I5)</f>
        <v>0</v>
      </c>
      <c r="K5" s="32">
        <f>COUNTIFS($C:$C, K$1,$D:$D, $I5)</f>
        <v>0</v>
      </c>
      <c r="L5" s="32">
        <f>COUNTIFS($C:$C, L$1,$D:$D, $I5)</f>
        <v>8</v>
      </c>
      <c r="M5" s="32">
        <f>COUNTIFS($C:$C, M$1,$D:$D, $I5)</f>
        <v>0</v>
      </c>
      <c r="N5" s="32">
        <f>COUNTIFS($C:$C, N$1,$D:$D, $I5)</f>
        <v>0</v>
      </c>
      <c r="O5" s="32">
        <f>COUNTIFS($C:$C, O$1,$D:$D, $I5)</f>
        <v>0</v>
      </c>
      <c r="P5" s="32">
        <f>COUNTIFS($C:$C, P$1,$D:$D, $I5)</f>
        <v>12</v>
      </c>
      <c r="Q5" s="32">
        <f>COUNTIFS($C:$C, Q$1,$D:$D, $I5)</f>
        <v>0</v>
      </c>
      <c r="R5" s="32">
        <f>COUNTIFS($C:$C, R$1,$D:$D, $I5)</f>
        <v>12</v>
      </c>
      <c r="S5" s="32">
        <f>COUNTIFS($C:$C, S$1,$D:$D, $I5)</f>
        <v>14</v>
      </c>
      <c r="T5" s="32">
        <f>COUNTIFS($C:$C, T$1,$D:$D, $I5)</f>
        <v>30</v>
      </c>
      <c r="U5" s="32">
        <f>COUNTIF($D:$D, $I5)</f>
        <v>107</v>
      </c>
      <c r="V5" s="195"/>
    </row>
    <row r="6" spans="1:27">
      <c r="A6" s="74" t="s">
        <v>285</v>
      </c>
      <c r="B6" s="74" t="s">
        <v>297</v>
      </c>
      <c r="H6" s="194"/>
      <c r="I6" s="158" t="s">
        <v>269</v>
      </c>
      <c r="J6" s="32">
        <f>COUNTIFS($C:$C, J$1,$D:$D, $I6)</f>
        <v>1</v>
      </c>
      <c r="K6" s="32">
        <f>COUNTIFS($C:$C, K$1,$D:$D, $I6)</f>
        <v>0</v>
      </c>
      <c r="L6" s="32">
        <f>COUNTIFS($C:$C, L$1,$D:$D, $I6)</f>
        <v>9</v>
      </c>
      <c r="M6" s="32">
        <f>COUNTIFS($C:$C, M$1,$D:$D, $I6)</f>
        <v>17</v>
      </c>
      <c r="N6" s="32">
        <f>COUNTIFS($C:$C, N$1,$D:$D, $I6)</f>
        <v>5</v>
      </c>
      <c r="O6" s="32">
        <f>COUNTIFS($C:$C, O$1,$D:$D, $I6)</f>
        <v>4</v>
      </c>
      <c r="P6" s="32">
        <f>COUNTIFS($C:$C, P$1,$D:$D, $I6)</f>
        <v>10</v>
      </c>
      <c r="Q6" s="32">
        <f>COUNTIFS($C:$C, Q$1,$D:$D, $I6)</f>
        <v>6</v>
      </c>
      <c r="R6" s="32">
        <f>COUNTIFS($C:$C, R$1,$D:$D, $I6)</f>
        <v>15</v>
      </c>
      <c r="S6" s="32">
        <f>COUNTIFS($C:$C, S$1,$D:$D, $I6)</f>
        <v>0</v>
      </c>
      <c r="T6" s="32">
        <f>COUNTIFS($C:$C, T$1,$D:$D, $I6)</f>
        <v>0</v>
      </c>
      <c r="U6" s="32">
        <f>COUNTIF($D:$D, $I6)</f>
        <v>79</v>
      </c>
      <c r="V6" s="195"/>
    </row>
    <row r="7" spans="1:27" ht="15" customHeight="1">
      <c r="A7" s="74" t="s">
        <v>285</v>
      </c>
      <c r="B7" s="74" t="s">
        <v>296</v>
      </c>
      <c r="H7" s="194" t="s">
        <v>310</v>
      </c>
      <c r="I7" s="66" t="s">
        <v>29</v>
      </c>
      <c r="J7" s="65">
        <f>COUNTIFS($C:$C, J$1,$E:$E, $I7)</f>
        <v>0</v>
      </c>
      <c r="K7" s="65">
        <f>COUNTIFS($C:$C, K$1,$E:$E, $I7)</f>
        <v>0</v>
      </c>
      <c r="L7" s="65">
        <f>COUNTIFS($C:$C, L$1,$E:$E, $I7)</f>
        <v>0</v>
      </c>
      <c r="M7" s="65">
        <f>COUNTIFS($C:$C, M$1,$E:$E, $I7)</f>
        <v>2</v>
      </c>
      <c r="N7" s="65">
        <f>COUNTIFS($C:$C, N$1,$E:$E, $I7)</f>
        <v>3</v>
      </c>
      <c r="O7" s="65">
        <f>COUNTIFS($C:$C, O$1,$E:$E, $I7)</f>
        <v>1</v>
      </c>
      <c r="P7" s="65">
        <f>COUNTIFS($C:$C, P$1,$E:$E, $I7)</f>
        <v>0</v>
      </c>
      <c r="Q7" s="65">
        <f>COUNTIFS($C:$C, Q$1,$E:$E, $I7)</f>
        <v>0</v>
      </c>
      <c r="R7" s="65">
        <f>COUNTIFS($C:$C, R$1,$E:$E, $I7)</f>
        <v>0</v>
      </c>
      <c r="S7" s="65">
        <f>COUNTIFS($C:$C, S$1,$E:$E, $I7) + COUNTIFS($C:$C, "Gti",$E:$E, $I7)</f>
        <v>0</v>
      </c>
      <c r="T7" s="79" t="s">
        <v>134</v>
      </c>
      <c r="U7" s="65">
        <f>COUNTIF($E:$E, $I7)</f>
        <v>6</v>
      </c>
      <c r="V7" s="196">
        <f>SUM(U7:U14)</f>
        <v>64</v>
      </c>
    </row>
    <row r="8" spans="1:27">
      <c r="A8" s="74" t="s">
        <v>285</v>
      </c>
      <c r="B8" s="74" t="s">
        <v>295</v>
      </c>
      <c r="H8" s="194"/>
      <c r="I8" s="64" t="s">
        <v>27</v>
      </c>
      <c r="J8" s="63">
        <f>COUNTIFS($C:$C, J$1,$E:$E, $I8)</f>
        <v>0</v>
      </c>
      <c r="K8" s="63">
        <f>COUNTIFS($C:$C, K$1,$E:$E, $I8)</f>
        <v>0</v>
      </c>
      <c r="L8" s="63">
        <f>COUNTIFS($C:$C, L$1,$E:$E, $I8)</f>
        <v>0</v>
      </c>
      <c r="M8" s="63">
        <f>COUNTIFS($C:$C, M$1,$E:$E, $I8)</f>
        <v>2</v>
      </c>
      <c r="N8" s="63">
        <f>COUNTIFS($C:$C, N$1,$E:$E, $I8)</f>
        <v>11</v>
      </c>
      <c r="O8" s="63">
        <f>COUNTIFS($C:$C, O$1,$E:$E, $I8)</f>
        <v>1</v>
      </c>
      <c r="P8" s="63">
        <f>COUNTIFS($C:$C, P$1,$E:$E, $I8)</f>
        <v>0</v>
      </c>
      <c r="Q8" s="63">
        <f>COUNTIFS($C:$C, Q$1,$E:$E, $I8)</f>
        <v>0</v>
      </c>
      <c r="R8" s="63">
        <f>COUNTIFS($C:$C, R$1,$E:$E, $I8)</f>
        <v>0</v>
      </c>
      <c r="S8" s="63">
        <f>COUNTIFS($C:$C, S$1,$E:$E, $I8) + COUNTIFS($C:$C, "Gti",$E:$E, $I8)</f>
        <v>0</v>
      </c>
      <c r="T8" s="80" t="s">
        <v>134</v>
      </c>
      <c r="U8" s="63">
        <f>COUNTIF($E:$E, $I8)</f>
        <v>14</v>
      </c>
      <c r="V8" s="196"/>
    </row>
    <row r="9" spans="1:27">
      <c r="A9" s="74" t="s">
        <v>285</v>
      </c>
      <c r="B9" s="74" t="s">
        <v>294</v>
      </c>
      <c r="H9" s="194"/>
      <c r="I9" s="62" t="s">
        <v>28</v>
      </c>
      <c r="J9" s="61">
        <f>COUNTIFS($C:$C, J$1,$E:$E, $I9)</f>
        <v>0</v>
      </c>
      <c r="K9" s="61">
        <f>COUNTIFS($C:$C, K$1,$E:$E, $I9)</f>
        <v>0</v>
      </c>
      <c r="L9" s="61">
        <f>COUNTIFS($C:$C, L$1,$E:$E, $I9)</f>
        <v>0</v>
      </c>
      <c r="M9" s="61">
        <f>COUNTIFS($C:$C, M$1,$E:$E, $I9)</f>
        <v>1</v>
      </c>
      <c r="N9" s="61">
        <f>COUNTIFS($C:$C, N$1,$E:$E, $I9)</f>
        <v>0</v>
      </c>
      <c r="O9" s="61">
        <f>COUNTIFS($C:$C, O$1,$E:$E, $I9)</f>
        <v>0</v>
      </c>
      <c r="P9" s="61">
        <f>COUNTIFS($C:$C, P$1,$E:$E, $I9)</f>
        <v>1</v>
      </c>
      <c r="Q9" s="61">
        <f>COUNTIFS($C:$C, Q$1,$E:$E, $I9)</f>
        <v>0</v>
      </c>
      <c r="R9" s="61">
        <f>COUNTIFS($C:$C, R$1,$E:$E, $I9)</f>
        <v>0</v>
      </c>
      <c r="S9" s="61">
        <f>COUNTIFS($C:$C, S$1,$E:$E, $I9) + COUNTIFS($C:$C, "Gti",$E:$E, $I9)</f>
        <v>0</v>
      </c>
      <c r="T9" s="81" t="s">
        <v>134</v>
      </c>
      <c r="U9" s="61">
        <f>COUNTIF($E:$E, $I9)</f>
        <v>2</v>
      </c>
      <c r="V9" s="196"/>
    </row>
    <row r="10" spans="1:27">
      <c r="A10" s="74" t="s">
        <v>285</v>
      </c>
      <c r="B10" s="74" t="s">
        <v>293</v>
      </c>
      <c r="H10" s="194"/>
      <c r="I10" s="60" t="s">
        <v>30</v>
      </c>
      <c r="J10" s="59">
        <f>COUNTIFS($C:$C, J$1,$E:$E, $I10)</f>
        <v>0</v>
      </c>
      <c r="K10" s="59">
        <f>COUNTIFS($C:$C, K$1,$E:$E, $I10)</f>
        <v>0</v>
      </c>
      <c r="L10" s="59">
        <f>COUNTIFS($C:$C, L$1,$E:$E, $I10)</f>
        <v>0</v>
      </c>
      <c r="M10" s="59">
        <f>COUNTIFS($C:$C, M$1,$E:$E, $I10)</f>
        <v>0</v>
      </c>
      <c r="N10" s="59">
        <f>COUNTIFS($C:$C, N$1,$E:$E, $I10)</f>
        <v>0</v>
      </c>
      <c r="O10" s="59">
        <f>COUNTIFS($C:$C, O$1,$E:$E, $I10)</f>
        <v>0</v>
      </c>
      <c r="P10" s="59">
        <f>COUNTIFS($C:$C, P$1,$E:$E, $I10)</f>
        <v>0</v>
      </c>
      <c r="Q10" s="59">
        <f>COUNTIFS($C:$C, Q$1,$E:$E, $I10)</f>
        <v>0</v>
      </c>
      <c r="R10" s="59">
        <f>COUNTIFS($C:$C, R$1,$E:$E, $I10)</f>
        <v>0</v>
      </c>
      <c r="S10" s="59">
        <f>COUNTIFS($C:$C, S$1,$E:$E, $I10) + COUNTIFS($C:$C, "Gti",$E:$E, $I10)</f>
        <v>0</v>
      </c>
      <c r="T10" s="82" t="s">
        <v>134</v>
      </c>
      <c r="U10" s="59">
        <f>COUNTIF($E:$E, $I10)</f>
        <v>0</v>
      </c>
      <c r="V10" s="196"/>
    </row>
    <row r="11" spans="1:27">
      <c r="A11" s="74" t="s">
        <v>285</v>
      </c>
      <c r="B11" s="74" t="s">
        <v>292</v>
      </c>
      <c r="H11" s="194"/>
      <c r="I11" s="58" t="s">
        <v>31</v>
      </c>
      <c r="J11" s="57">
        <f>COUNTIFS($C:$C, J$1,$E:$E, $I11)</f>
        <v>0</v>
      </c>
      <c r="K11" s="57">
        <f>COUNTIFS($C:$C, K$1,$E:$E, $I11)</f>
        <v>0</v>
      </c>
      <c r="L11" s="57">
        <f>COUNTIFS($C:$C, L$1,$E:$E, $I11)</f>
        <v>0</v>
      </c>
      <c r="M11" s="57">
        <f>COUNTIFS($C:$C, M$1,$E:$E, $I11)</f>
        <v>1</v>
      </c>
      <c r="N11" s="57">
        <f>COUNTIFS($C:$C, N$1,$E:$E, $I11)</f>
        <v>3</v>
      </c>
      <c r="O11" s="57">
        <f>COUNTIFS($C:$C, O$1,$E:$E, $I11)</f>
        <v>0</v>
      </c>
      <c r="P11" s="57">
        <f>COUNTIFS($C:$C, P$1,$E:$E, $I11)</f>
        <v>0</v>
      </c>
      <c r="Q11" s="57">
        <f>COUNTIFS($C:$C, Q$1,$E:$E, $I11)</f>
        <v>0</v>
      </c>
      <c r="R11" s="57">
        <f>COUNTIFS($C:$C, R$1,$E:$E, $I11)</f>
        <v>0</v>
      </c>
      <c r="S11" s="57">
        <f>COUNTIFS($C:$C, S$1,$E:$E, $I11) + COUNTIFS($C:$C, "Gti",$E:$E, $I11)</f>
        <v>0</v>
      </c>
      <c r="T11" s="83" t="s">
        <v>134</v>
      </c>
      <c r="U11" s="57">
        <f>COUNTIF($E:$E, $I11)</f>
        <v>4</v>
      </c>
      <c r="V11" s="196"/>
    </row>
    <row r="12" spans="1:27">
      <c r="A12" s="54" t="s">
        <v>285</v>
      </c>
      <c r="B12" s="89" t="s">
        <v>291</v>
      </c>
      <c r="C12" s="72" t="s">
        <v>25</v>
      </c>
      <c r="D12" s="72" t="s">
        <v>305</v>
      </c>
      <c r="E12" s="72" t="s">
        <v>134</v>
      </c>
      <c r="F12" s="72" t="s">
        <v>308</v>
      </c>
      <c r="H12" s="194"/>
      <c r="I12" s="56" t="s">
        <v>32</v>
      </c>
      <c r="J12" s="32">
        <f>COUNTIFS($C:$C, J$1,$E:$E, $I12)</f>
        <v>0</v>
      </c>
      <c r="K12" s="32">
        <f>COUNTIFS($C:$C, K$1,$E:$E, $I12)</f>
        <v>3</v>
      </c>
      <c r="L12" s="32">
        <f>COUNTIFS($C:$C, L$1,$E:$E, $I12)</f>
        <v>0</v>
      </c>
      <c r="M12" s="32">
        <f>COUNTIFS($C:$C, M$1,$E:$E, $I12)</f>
        <v>2</v>
      </c>
      <c r="N12" s="32">
        <f>COUNTIFS($C:$C, N$1,$E:$E, $I12)</f>
        <v>0</v>
      </c>
      <c r="O12" s="32">
        <f>COUNTIFS($C:$C, O$1,$E:$E, $I12)</f>
        <v>5</v>
      </c>
      <c r="P12" s="32">
        <f>COUNTIFS($C:$C, P$1,$E:$E, $I12)</f>
        <v>0</v>
      </c>
      <c r="Q12" s="32">
        <f>COUNTIFS($C:$C, Q$1,$E:$E, $I12)</f>
        <v>0</v>
      </c>
      <c r="R12" s="32">
        <f>COUNTIFS($C:$C, R$1,$E:$E, $I12)</f>
        <v>0</v>
      </c>
      <c r="S12" s="32">
        <f>COUNTIFS($C:$C, S$1,$E:$E, $I12) + COUNTIFS($C:$C, "Gti",$E:$E, $I12)</f>
        <v>4</v>
      </c>
      <c r="T12" s="9" t="s">
        <v>134</v>
      </c>
      <c r="U12" s="32">
        <f>COUNTIF($E:$E, $I12)</f>
        <v>14</v>
      </c>
      <c r="V12" s="196"/>
    </row>
    <row r="13" spans="1:27">
      <c r="A13" s="54" t="s">
        <v>285</v>
      </c>
      <c r="B13" s="89" t="s">
        <v>290</v>
      </c>
      <c r="C13" s="73" t="s">
        <v>9</v>
      </c>
      <c r="D13" s="73" t="s">
        <v>305</v>
      </c>
      <c r="E13" s="73" t="s">
        <v>134</v>
      </c>
      <c r="F13" s="73" t="s">
        <v>306</v>
      </c>
      <c r="H13" s="194"/>
      <c r="I13" s="55" t="s">
        <v>33</v>
      </c>
      <c r="J13" s="52">
        <f>COUNTIFS($C:$C, J$1,$E:$E, $I13)</f>
        <v>0</v>
      </c>
      <c r="K13" s="52">
        <f>COUNTIFS($C:$C, K$1,$E:$E, $I13)</f>
        <v>0</v>
      </c>
      <c r="L13" s="52">
        <f>COUNTIFS($C:$C, L$1,$E:$E, $I13)</f>
        <v>0</v>
      </c>
      <c r="M13" s="52">
        <f>COUNTIFS($C:$C, M$1,$E:$E, $I13)</f>
        <v>0</v>
      </c>
      <c r="N13" s="52">
        <f>COUNTIFS($C:$C, N$1,$E:$E, $I13)</f>
        <v>0</v>
      </c>
      <c r="O13" s="52">
        <f>COUNTIFS($C:$C, O$1,$E:$E, $I13)</f>
        <v>0</v>
      </c>
      <c r="P13" s="52">
        <f>COUNTIFS($C:$C, P$1,$E:$E, $I13)</f>
        <v>0</v>
      </c>
      <c r="Q13" s="52">
        <f>COUNTIFS($C:$C, Q$1,$E:$E, $I13)</f>
        <v>0</v>
      </c>
      <c r="R13" s="52">
        <f>COUNTIFS($C:$C, R$1,$E:$E, $I13)</f>
        <v>1</v>
      </c>
      <c r="S13" s="52">
        <f>COUNTIFS($C:$C, S$1,$E:$E, $I13) + COUNTIFS($C:$C, "Gti",$E:$E, $I13)</f>
        <v>0</v>
      </c>
      <c r="T13" s="36" t="s">
        <v>134</v>
      </c>
      <c r="U13" s="32">
        <f>COUNTIF($E:$E, $I13)</f>
        <v>1</v>
      </c>
      <c r="V13" s="196"/>
    </row>
    <row r="14" spans="1:27">
      <c r="A14" s="54" t="s">
        <v>285</v>
      </c>
      <c r="B14" s="169" t="s">
        <v>289</v>
      </c>
      <c r="C14" s="72" t="s">
        <v>16</v>
      </c>
      <c r="D14" s="72" t="s">
        <v>305</v>
      </c>
      <c r="E14" s="72" t="s">
        <v>134</v>
      </c>
      <c r="F14" s="87" t="s">
        <v>755</v>
      </c>
      <c r="H14" s="194"/>
      <c r="I14" s="55" t="s">
        <v>529</v>
      </c>
      <c r="J14" s="52">
        <f>COUNTIFS($C:$C, J$1,$E:$E, $I14)</f>
        <v>0</v>
      </c>
      <c r="K14" s="52">
        <f>COUNTIFS($C:$C, K$1,$E:$E, $I14)</f>
        <v>0</v>
      </c>
      <c r="L14" s="52">
        <f>COUNTIFS($C:$C, L$1,$E:$E, $I14)</f>
        <v>3</v>
      </c>
      <c r="M14" s="52">
        <f>COUNTIFS($C:$C, M$1,$E:$E, $I14)</f>
        <v>9</v>
      </c>
      <c r="N14" s="52">
        <f>COUNTIFS($C:$C, N$1,$E:$E, $I14)</f>
        <v>0</v>
      </c>
      <c r="O14" s="52">
        <f>COUNTIFS($C:$C, O$1,$E:$E, $I14)</f>
        <v>0</v>
      </c>
      <c r="P14" s="52">
        <f>COUNTIFS($C:$C, P$1,$E:$E, $I14)</f>
        <v>3</v>
      </c>
      <c r="Q14" s="52">
        <f>COUNTIFS($C:$C, Q$1,$E:$E, $I14)</f>
        <v>0</v>
      </c>
      <c r="R14" s="52">
        <f>COUNTIFS($C:$C, R$1,$E:$E, $I14)</f>
        <v>4</v>
      </c>
      <c r="S14" s="52">
        <f>COUNTIFS($C:$C, S$1,$E:$E, $I14) + COUNTIFS($C:$C, "Gti",$E:$E, $I14)</f>
        <v>4</v>
      </c>
      <c r="T14" s="36" t="s">
        <v>134</v>
      </c>
      <c r="U14" s="32">
        <f>COUNTIF($E:$E, $I14)</f>
        <v>23</v>
      </c>
      <c r="V14" s="196"/>
    </row>
    <row r="15" spans="1:27">
      <c r="A15" s="54" t="s">
        <v>285</v>
      </c>
      <c r="B15" s="169" t="s">
        <v>288</v>
      </c>
      <c r="C15" t="s">
        <v>16</v>
      </c>
      <c r="D15" t="s">
        <v>305</v>
      </c>
      <c r="E15" s="54" t="s">
        <v>134</v>
      </c>
      <c r="F15" s="54" t="s">
        <v>756</v>
      </c>
      <c r="H15" s="194" t="s">
        <v>569</v>
      </c>
      <c r="I15" s="9" t="s">
        <v>568</v>
      </c>
      <c r="J15" s="32">
        <v>2</v>
      </c>
      <c r="K15" s="32">
        <v>1</v>
      </c>
      <c r="L15" s="32">
        <v>0</v>
      </c>
      <c r="M15" s="32">
        <v>5</v>
      </c>
      <c r="N15" s="32">
        <f>8+6</f>
        <v>14</v>
      </c>
      <c r="O15" s="32">
        <v>1</v>
      </c>
      <c r="P15" s="32">
        <v>0</v>
      </c>
      <c r="Q15" s="32">
        <v>0</v>
      </c>
      <c r="R15" s="32">
        <v>0</v>
      </c>
      <c r="S15" s="32">
        <v>8</v>
      </c>
      <c r="T15" s="32"/>
      <c r="U15" s="32">
        <f>SUM(J15:T15)</f>
        <v>31</v>
      </c>
      <c r="V15" s="196">
        <f>SUM(U15:U17)</f>
        <v>43</v>
      </c>
    </row>
    <row r="16" spans="1:27">
      <c r="A16" s="54" t="s">
        <v>285</v>
      </c>
      <c r="B16" s="169" t="s">
        <v>287</v>
      </c>
      <c r="C16" t="s">
        <v>16</v>
      </c>
      <c r="D16" t="s">
        <v>305</v>
      </c>
      <c r="E16" s="54" t="s">
        <v>134</v>
      </c>
      <c r="F16" s="54" t="s">
        <v>757</v>
      </c>
      <c r="H16" s="194"/>
      <c r="I16" s="9" t="s">
        <v>570</v>
      </c>
      <c r="J16" s="32">
        <v>0</v>
      </c>
      <c r="K16" s="32">
        <v>3</v>
      </c>
      <c r="L16" s="32">
        <v>0</v>
      </c>
      <c r="M16" s="32">
        <v>1</v>
      </c>
      <c r="N16" s="32">
        <v>0</v>
      </c>
      <c r="O16" s="32">
        <v>2</v>
      </c>
      <c r="P16" s="32">
        <v>0</v>
      </c>
      <c r="Q16" s="32">
        <v>0</v>
      </c>
      <c r="R16" s="32">
        <v>0</v>
      </c>
      <c r="S16" s="32">
        <v>4</v>
      </c>
      <c r="T16" s="32"/>
      <c r="U16" s="32">
        <f>SUM(J16:T16)</f>
        <v>10</v>
      </c>
      <c r="V16" s="196"/>
    </row>
    <row r="17" spans="1:27">
      <c r="A17" s="54" t="s">
        <v>285</v>
      </c>
      <c r="B17" s="89" t="s">
        <v>286</v>
      </c>
      <c r="C17" t="s">
        <v>25</v>
      </c>
      <c r="D17" t="s">
        <v>305</v>
      </c>
      <c r="E17" s="54" t="s">
        <v>134</v>
      </c>
      <c r="F17" s="54" t="s">
        <v>304</v>
      </c>
      <c r="H17" s="194"/>
      <c r="I17" s="9" t="s">
        <v>571</v>
      </c>
      <c r="J17" s="32">
        <v>1</v>
      </c>
      <c r="K17" s="32">
        <v>1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/>
      <c r="U17" s="32">
        <f>SUM(J17:T17)</f>
        <v>2</v>
      </c>
      <c r="V17" s="196"/>
    </row>
    <row r="18" spans="1:27">
      <c r="A18" t="s">
        <v>285</v>
      </c>
      <c r="B18" s="10">
        <v>0</v>
      </c>
      <c r="C18" t="s">
        <v>134</v>
      </c>
      <c r="D18" t="s">
        <v>134</v>
      </c>
      <c r="E18" t="s">
        <v>134</v>
      </c>
      <c r="F18" s="78" t="s">
        <v>560</v>
      </c>
    </row>
    <row r="19" spans="1:27">
      <c r="A19" t="s">
        <v>285</v>
      </c>
      <c r="B19" s="10">
        <v>1</v>
      </c>
      <c r="C19" t="s">
        <v>134</v>
      </c>
      <c r="D19" t="s">
        <v>134</v>
      </c>
      <c r="E19" t="s">
        <v>134</v>
      </c>
      <c r="F19" s="78" t="s">
        <v>561</v>
      </c>
      <c r="I19" s="1" t="s">
        <v>303</v>
      </c>
      <c r="J19">
        <f>COUNTIF(B:B, "&lt;&gt;") - 1</f>
        <v>355</v>
      </c>
    </row>
    <row r="20" spans="1:27">
      <c r="A20" t="s">
        <v>285</v>
      </c>
      <c r="B20" s="90">
        <v>2</v>
      </c>
      <c r="C20" s="73" t="s">
        <v>315</v>
      </c>
      <c r="D20" s="73" t="s">
        <v>258</v>
      </c>
      <c r="E20" s="73" t="s">
        <v>134</v>
      </c>
      <c r="F20" s="73" t="s">
        <v>468</v>
      </c>
      <c r="I20" s="1" t="s">
        <v>302</v>
      </c>
      <c r="J20">
        <f>COUNTIF(C:C, "&lt;&gt;") - 1</f>
        <v>270</v>
      </c>
    </row>
    <row r="21" spans="1:27">
      <c r="A21" s="54" t="s">
        <v>285</v>
      </c>
      <c r="B21" s="90">
        <v>3</v>
      </c>
      <c r="C21" s="10" t="s">
        <v>22</v>
      </c>
      <c r="D21" t="s">
        <v>143</v>
      </c>
      <c r="E21" s="10" t="s">
        <v>134</v>
      </c>
      <c r="F21" t="s">
        <v>575</v>
      </c>
    </row>
    <row r="22" spans="1:27">
      <c r="A22" t="s">
        <v>285</v>
      </c>
      <c r="B22" s="90">
        <v>4</v>
      </c>
      <c r="C22" s="73" t="s">
        <v>315</v>
      </c>
      <c r="D22" s="73" t="s">
        <v>258</v>
      </c>
      <c r="E22" s="73" t="s">
        <v>134</v>
      </c>
      <c r="F22" s="73" t="s">
        <v>469</v>
      </c>
      <c r="I22" t="s">
        <v>300</v>
      </c>
    </row>
    <row r="23" spans="1:27">
      <c r="A23" s="54" t="s">
        <v>285</v>
      </c>
      <c r="B23" s="90">
        <v>5</v>
      </c>
      <c r="C23" t="s">
        <v>21</v>
      </c>
      <c r="D23" t="s">
        <v>143</v>
      </c>
      <c r="E23" t="s">
        <v>134</v>
      </c>
      <c r="F23" t="s">
        <v>472</v>
      </c>
      <c r="I23"/>
    </row>
    <row r="24" spans="1:27">
      <c r="A24" t="s">
        <v>285</v>
      </c>
      <c r="B24" s="90">
        <v>6</v>
      </c>
      <c r="C24" s="73" t="s">
        <v>315</v>
      </c>
      <c r="D24" s="73" t="s">
        <v>258</v>
      </c>
      <c r="E24" s="73" t="s">
        <v>134</v>
      </c>
      <c r="F24" s="73" t="s">
        <v>470</v>
      </c>
      <c r="I24" s="204" t="s">
        <v>791</v>
      </c>
      <c r="J24" s="204"/>
      <c r="K24" s="204"/>
      <c r="L24" s="204"/>
      <c r="M24" s="204"/>
    </row>
    <row r="25" spans="1:27">
      <c r="A25" t="s">
        <v>285</v>
      </c>
      <c r="B25" s="90">
        <v>7</v>
      </c>
      <c r="C25" s="73" t="s">
        <v>315</v>
      </c>
      <c r="D25" s="73" t="s">
        <v>258</v>
      </c>
      <c r="E25" s="73" t="s">
        <v>134</v>
      </c>
      <c r="F25" s="73" t="s">
        <v>471</v>
      </c>
      <c r="I25" s="9" t="s">
        <v>697</v>
      </c>
      <c r="J25" s="198"/>
      <c r="K25" s="198"/>
      <c r="L25" s="198"/>
      <c r="M25" s="198"/>
    </row>
    <row r="26" spans="1:27">
      <c r="A26" s="54" t="s">
        <v>285</v>
      </c>
      <c r="B26" s="90">
        <v>8</v>
      </c>
      <c r="C26" s="10" t="s">
        <v>335</v>
      </c>
      <c r="D26" t="s">
        <v>258</v>
      </c>
      <c r="E26" s="10" t="s">
        <v>134</v>
      </c>
      <c r="F26" s="54" t="s">
        <v>508</v>
      </c>
      <c r="I26" s="9" t="s">
        <v>547</v>
      </c>
      <c r="J26" s="199"/>
      <c r="K26" s="199"/>
      <c r="L26" s="199"/>
      <c r="M26" s="199"/>
    </row>
    <row r="27" spans="1:27">
      <c r="A27" s="54" t="s">
        <v>285</v>
      </c>
      <c r="B27" s="90">
        <v>9</v>
      </c>
      <c r="C27" s="10" t="s">
        <v>335</v>
      </c>
      <c r="D27" t="s">
        <v>258</v>
      </c>
      <c r="E27" s="10" t="s">
        <v>134</v>
      </c>
      <c r="F27" s="54" t="s">
        <v>511</v>
      </c>
      <c r="I27" s="9" t="s">
        <v>305</v>
      </c>
      <c r="J27" s="200"/>
      <c r="K27" s="200"/>
      <c r="L27" s="200"/>
      <c r="M27" s="200"/>
    </row>
    <row r="28" spans="1:27">
      <c r="A28" s="54" t="s">
        <v>285</v>
      </c>
      <c r="B28" s="90">
        <v>10</v>
      </c>
      <c r="C28" s="10" t="s">
        <v>335</v>
      </c>
      <c r="D28" t="s">
        <v>258</v>
      </c>
      <c r="E28" s="10" t="s">
        <v>134</v>
      </c>
      <c r="F28" s="54" t="s">
        <v>509</v>
      </c>
      <c r="I28" s="9" t="s">
        <v>269</v>
      </c>
      <c r="J28" s="201"/>
      <c r="K28" s="201"/>
      <c r="L28" s="201"/>
      <c r="M28" s="201"/>
    </row>
    <row r="29" spans="1:27">
      <c r="A29" s="54" t="s">
        <v>285</v>
      </c>
      <c r="B29" s="90">
        <v>11</v>
      </c>
      <c r="C29" s="10" t="s">
        <v>335</v>
      </c>
      <c r="D29" t="s">
        <v>258</v>
      </c>
      <c r="E29" s="10" t="s">
        <v>134</v>
      </c>
      <c r="F29" s="54" t="s">
        <v>510</v>
      </c>
      <c r="I29" s="9" t="s">
        <v>148</v>
      </c>
      <c r="J29" s="202"/>
      <c r="K29" s="202"/>
      <c r="L29" s="202"/>
      <c r="M29" s="202"/>
    </row>
    <row r="30" spans="1:27">
      <c r="A30" s="74" t="s">
        <v>285</v>
      </c>
      <c r="B30" s="75">
        <v>12</v>
      </c>
      <c r="C30" s="72"/>
      <c r="D30" s="72"/>
      <c r="E30" s="72"/>
      <c r="F30" s="78" t="s">
        <v>790</v>
      </c>
      <c r="I30" s="9" t="s">
        <v>258</v>
      </c>
      <c r="J30" s="203"/>
      <c r="K30" s="203"/>
      <c r="L30" s="203"/>
      <c r="M30" s="203"/>
    </row>
    <row r="31" spans="1:27">
      <c r="A31" s="54" t="s">
        <v>285</v>
      </c>
      <c r="B31" s="90">
        <v>13</v>
      </c>
      <c r="C31" t="s">
        <v>26</v>
      </c>
      <c r="D31" t="s">
        <v>143</v>
      </c>
      <c r="E31" t="s">
        <v>134</v>
      </c>
      <c r="F31" s="78" t="s">
        <v>530</v>
      </c>
      <c r="I31"/>
    </row>
    <row r="32" spans="1:27">
      <c r="A32" s="54" t="s">
        <v>285</v>
      </c>
      <c r="B32" s="206">
        <v>14</v>
      </c>
      <c r="C32" t="s">
        <v>315</v>
      </c>
      <c r="D32" s="208" t="s">
        <v>258</v>
      </c>
      <c r="E32" t="s">
        <v>134</v>
      </c>
      <c r="F32" s="207" t="s">
        <v>818</v>
      </c>
      <c r="G32" s="54"/>
      <c r="I32"/>
      <c r="W32" s="169">
        <v>14</v>
      </c>
      <c r="X32" s="169" t="s">
        <v>26</v>
      </c>
      <c r="Y32" s="169" t="s">
        <v>143</v>
      </c>
      <c r="Z32" s="169" t="s">
        <v>134</v>
      </c>
      <c r="AA32" s="169" t="s">
        <v>792</v>
      </c>
    </row>
    <row r="33" spans="1:27">
      <c r="A33" s="54" t="s">
        <v>285</v>
      </c>
      <c r="B33" s="206">
        <v>15</v>
      </c>
      <c r="C33" t="s">
        <v>315</v>
      </c>
      <c r="D33" s="208" t="s">
        <v>258</v>
      </c>
      <c r="E33" t="s">
        <v>134</v>
      </c>
      <c r="F33" s="207" t="s">
        <v>817</v>
      </c>
      <c r="G33" s="54"/>
      <c r="I33"/>
      <c r="W33" s="169">
        <v>15</v>
      </c>
      <c r="X33" s="169" t="s">
        <v>26</v>
      </c>
      <c r="Y33" s="169" t="s">
        <v>143</v>
      </c>
      <c r="Z33" s="169" t="s">
        <v>134</v>
      </c>
      <c r="AA33" s="169" t="s">
        <v>793</v>
      </c>
    </row>
    <row r="34" spans="1:27">
      <c r="A34" s="54" t="s">
        <v>285</v>
      </c>
      <c r="B34" s="206">
        <v>16</v>
      </c>
      <c r="C34" t="s">
        <v>315</v>
      </c>
      <c r="D34" s="209" t="s">
        <v>258</v>
      </c>
      <c r="E34" s="73" t="s">
        <v>134</v>
      </c>
      <c r="F34" s="207" t="s">
        <v>815</v>
      </c>
      <c r="G34" s="54"/>
      <c r="I34"/>
      <c r="W34" s="169">
        <v>16</v>
      </c>
      <c r="X34" s="169" t="s">
        <v>26</v>
      </c>
      <c r="Y34" s="169" t="s">
        <v>143</v>
      </c>
      <c r="Z34" s="169" t="s">
        <v>134</v>
      </c>
      <c r="AA34" s="169" t="s">
        <v>794</v>
      </c>
    </row>
    <row r="35" spans="1:27">
      <c r="A35" s="54" t="s">
        <v>285</v>
      </c>
      <c r="B35" s="206">
        <v>17</v>
      </c>
      <c r="C35" t="s">
        <v>315</v>
      </c>
      <c r="D35" s="208" t="s">
        <v>258</v>
      </c>
      <c r="E35" t="s">
        <v>134</v>
      </c>
      <c r="F35" s="207" t="s">
        <v>816</v>
      </c>
      <c r="G35" s="54"/>
      <c r="I35"/>
      <c r="W35" s="169">
        <v>17</v>
      </c>
      <c r="X35" s="169" t="s">
        <v>26</v>
      </c>
      <c r="Y35" s="169" t="s">
        <v>143</v>
      </c>
      <c r="Z35" s="169" t="s">
        <v>134</v>
      </c>
      <c r="AA35" s="169" t="s">
        <v>795</v>
      </c>
    </row>
    <row r="36" spans="1:27">
      <c r="A36" s="54" t="s">
        <v>285</v>
      </c>
      <c r="B36" s="90">
        <v>18</v>
      </c>
      <c r="C36" s="76" t="s">
        <v>335</v>
      </c>
      <c r="D36" s="87" t="s">
        <v>258</v>
      </c>
      <c r="E36" s="87" t="s">
        <v>134</v>
      </c>
      <c r="F36" s="88" t="s">
        <v>531</v>
      </c>
      <c r="G36" s="54"/>
    </row>
    <row r="37" spans="1:27">
      <c r="A37" s="54" t="s">
        <v>285</v>
      </c>
      <c r="B37" s="90">
        <v>19</v>
      </c>
      <c r="C37" s="76" t="s">
        <v>335</v>
      </c>
      <c r="D37" s="87" t="s">
        <v>258</v>
      </c>
      <c r="E37" s="87" t="s">
        <v>134</v>
      </c>
      <c r="F37" s="88" t="s">
        <v>532</v>
      </c>
      <c r="G37" s="54"/>
    </row>
    <row r="38" spans="1:27">
      <c r="A38" s="54" t="s">
        <v>285</v>
      </c>
      <c r="B38" s="90">
        <v>20</v>
      </c>
      <c r="C38" t="s">
        <v>16</v>
      </c>
      <c r="D38" s="73" t="s">
        <v>143</v>
      </c>
      <c r="E38" s="73" t="s">
        <v>134</v>
      </c>
      <c r="F38" s="78" t="s">
        <v>566</v>
      </c>
    </row>
    <row r="39" spans="1:27">
      <c r="A39" s="54" t="s">
        <v>285</v>
      </c>
      <c r="B39" s="90">
        <v>21</v>
      </c>
      <c r="C39" t="s">
        <v>16</v>
      </c>
      <c r="D39" t="s">
        <v>143</v>
      </c>
      <c r="E39" t="s">
        <v>134</v>
      </c>
      <c r="F39" s="78" t="s">
        <v>567</v>
      </c>
    </row>
    <row r="40" spans="1:27">
      <c r="A40" s="208" t="s">
        <v>285</v>
      </c>
      <c r="B40" s="206">
        <v>22</v>
      </c>
      <c r="C40" s="206" t="s">
        <v>26</v>
      </c>
      <c r="D40" s="206" t="s">
        <v>143</v>
      </c>
      <c r="E40" s="206" t="s">
        <v>134</v>
      </c>
      <c r="F40" s="208" t="s">
        <v>819</v>
      </c>
      <c r="W40" s="169">
        <v>22</v>
      </c>
      <c r="X40" s="169" t="s">
        <v>315</v>
      </c>
      <c r="Y40" s="169" t="s">
        <v>258</v>
      </c>
      <c r="Z40" s="169" t="s">
        <v>134</v>
      </c>
      <c r="AA40" s="169" t="s">
        <v>712</v>
      </c>
    </row>
    <row r="41" spans="1:27">
      <c r="A41" s="208" t="s">
        <v>285</v>
      </c>
      <c r="B41" s="206">
        <v>23</v>
      </c>
      <c r="C41" s="206" t="s">
        <v>26</v>
      </c>
      <c r="D41" s="206" t="s">
        <v>143</v>
      </c>
      <c r="E41" s="206" t="s">
        <v>134</v>
      </c>
      <c r="F41" s="208" t="s">
        <v>820</v>
      </c>
      <c r="W41" s="169">
        <v>23</v>
      </c>
      <c r="X41" s="169" t="s">
        <v>315</v>
      </c>
      <c r="Y41" s="169" t="s">
        <v>258</v>
      </c>
      <c r="Z41" s="169" t="s">
        <v>134</v>
      </c>
      <c r="AA41" s="169" t="s">
        <v>713</v>
      </c>
    </row>
    <row r="42" spans="1:27">
      <c r="A42" s="208" t="s">
        <v>285</v>
      </c>
      <c r="B42" s="206">
        <v>24</v>
      </c>
      <c r="C42" s="206" t="s">
        <v>26</v>
      </c>
      <c r="D42" s="206" t="s">
        <v>143</v>
      </c>
      <c r="E42" s="206" t="s">
        <v>134</v>
      </c>
      <c r="F42" s="208" t="s">
        <v>821</v>
      </c>
      <c r="W42" s="169">
        <v>24</v>
      </c>
      <c r="X42" s="169" t="s">
        <v>315</v>
      </c>
      <c r="Y42" s="169" t="s">
        <v>258</v>
      </c>
      <c r="Z42" s="169" t="s">
        <v>134</v>
      </c>
      <c r="AA42" s="169" t="s">
        <v>336</v>
      </c>
    </row>
    <row r="43" spans="1:27">
      <c r="A43" s="208" t="s">
        <v>285</v>
      </c>
      <c r="B43" s="206">
        <v>25</v>
      </c>
      <c r="C43" s="206" t="s">
        <v>26</v>
      </c>
      <c r="D43" s="206" t="s">
        <v>143</v>
      </c>
      <c r="E43" s="206" t="s">
        <v>134</v>
      </c>
      <c r="F43" s="208" t="s">
        <v>822</v>
      </c>
      <c r="W43" s="169">
        <v>25</v>
      </c>
      <c r="X43" s="169" t="s">
        <v>315</v>
      </c>
      <c r="Y43" s="169" t="s">
        <v>258</v>
      </c>
      <c r="Z43" s="169" t="s">
        <v>134</v>
      </c>
      <c r="AA43" s="169" t="s">
        <v>339</v>
      </c>
    </row>
    <row r="44" spans="1:27">
      <c r="A44" s="74" t="s">
        <v>285</v>
      </c>
      <c r="B44" s="75">
        <v>26</v>
      </c>
      <c r="W44" s="169">
        <v>26</v>
      </c>
      <c r="X44" s="169" t="s">
        <v>315</v>
      </c>
      <c r="Y44" s="169" t="s">
        <v>258</v>
      </c>
      <c r="Z44" s="169" t="s">
        <v>134</v>
      </c>
      <c r="AA44" s="169" t="s">
        <v>338</v>
      </c>
    </row>
    <row r="45" spans="1:27">
      <c r="A45" s="74" t="s">
        <v>285</v>
      </c>
      <c r="B45" s="75">
        <v>27</v>
      </c>
      <c r="W45" s="169">
        <v>27</v>
      </c>
      <c r="X45" s="169" t="s">
        <v>315</v>
      </c>
      <c r="Y45" s="169" t="s">
        <v>258</v>
      </c>
      <c r="Z45" s="169" t="s">
        <v>134</v>
      </c>
      <c r="AA45" s="169" t="s">
        <v>340</v>
      </c>
    </row>
    <row r="46" spans="1:27">
      <c r="A46" s="74" t="s">
        <v>285</v>
      </c>
      <c r="B46" s="75">
        <v>28</v>
      </c>
      <c r="W46" s="169">
        <v>28</v>
      </c>
      <c r="X46" s="169" t="s">
        <v>315</v>
      </c>
      <c r="Y46" s="169" t="s">
        <v>258</v>
      </c>
      <c r="Z46" s="169" t="s">
        <v>134</v>
      </c>
      <c r="AA46" s="169" t="s">
        <v>337</v>
      </c>
    </row>
    <row r="47" spans="1:27">
      <c r="A47" s="74" t="s">
        <v>285</v>
      </c>
      <c r="B47" s="75">
        <v>29</v>
      </c>
      <c r="W47" s="169">
        <v>29</v>
      </c>
      <c r="X47" s="169" t="s">
        <v>315</v>
      </c>
      <c r="Y47" s="169" t="s">
        <v>258</v>
      </c>
      <c r="Z47" s="169" t="s">
        <v>134</v>
      </c>
      <c r="AA47" s="169" t="s">
        <v>341</v>
      </c>
    </row>
    <row r="48" spans="1:27">
      <c r="A48" s="74" t="s">
        <v>285</v>
      </c>
      <c r="B48" s="75">
        <v>30</v>
      </c>
      <c r="W48" s="169">
        <v>30</v>
      </c>
      <c r="X48" s="169" t="s">
        <v>315</v>
      </c>
      <c r="Y48" s="169" t="s">
        <v>258</v>
      </c>
      <c r="Z48" s="169" t="s">
        <v>134</v>
      </c>
      <c r="AA48" s="169" t="s">
        <v>342</v>
      </c>
    </row>
    <row r="49" spans="1:27">
      <c r="A49" s="74" t="s">
        <v>285</v>
      </c>
      <c r="B49" s="75">
        <v>31</v>
      </c>
      <c r="W49" s="169">
        <v>31</v>
      </c>
      <c r="X49" s="169" t="s">
        <v>315</v>
      </c>
      <c r="Y49" s="169" t="s">
        <v>258</v>
      </c>
      <c r="Z49" s="169" t="s">
        <v>134</v>
      </c>
      <c r="AA49" s="169" t="s">
        <v>343</v>
      </c>
    </row>
    <row r="50" spans="1:27">
      <c r="A50" s="74" t="s">
        <v>285</v>
      </c>
      <c r="B50" s="75">
        <v>32</v>
      </c>
      <c r="W50" s="169">
        <v>32</v>
      </c>
      <c r="X50" s="169" t="s">
        <v>315</v>
      </c>
      <c r="Y50" s="169" t="s">
        <v>258</v>
      </c>
      <c r="Z50" s="169" t="s">
        <v>134</v>
      </c>
      <c r="AA50" s="169" t="s">
        <v>344</v>
      </c>
    </row>
    <row r="51" spans="1:27">
      <c r="A51" s="74" t="s">
        <v>285</v>
      </c>
      <c r="B51" s="75">
        <v>33</v>
      </c>
      <c r="W51" s="169">
        <v>33</v>
      </c>
      <c r="X51" s="169" t="s">
        <v>315</v>
      </c>
      <c r="Y51" s="169" t="s">
        <v>258</v>
      </c>
      <c r="Z51" s="169" t="s">
        <v>134</v>
      </c>
      <c r="AA51" s="169" t="s">
        <v>345</v>
      </c>
    </row>
    <row r="52" spans="1:27">
      <c r="A52" s="74" t="s">
        <v>285</v>
      </c>
      <c r="B52" s="75">
        <v>34</v>
      </c>
      <c r="W52" s="169">
        <v>34</v>
      </c>
      <c r="X52" s="169" t="s">
        <v>315</v>
      </c>
      <c r="Y52" s="169" t="s">
        <v>258</v>
      </c>
      <c r="Z52" s="169" t="s">
        <v>134</v>
      </c>
      <c r="AA52" s="169" t="s">
        <v>346</v>
      </c>
    </row>
    <row r="53" spans="1:27">
      <c r="A53" s="74" t="s">
        <v>285</v>
      </c>
      <c r="B53" s="75">
        <v>35</v>
      </c>
      <c r="W53" s="169">
        <v>35</v>
      </c>
      <c r="X53" s="169" t="s">
        <v>315</v>
      </c>
      <c r="Y53" s="169" t="s">
        <v>258</v>
      </c>
      <c r="Z53" s="169" t="s">
        <v>134</v>
      </c>
      <c r="AA53" s="169" t="s">
        <v>347</v>
      </c>
    </row>
    <row r="54" spans="1:27">
      <c r="A54" s="74" t="s">
        <v>285</v>
      </c>
      <c r="B54" s="75">
        <v>36</v>
      </c>
      <c r="W54" s="169">
        <v>36</v>
      </c>
      <c r="X54" s="169" t="s">
        <v>335</v>
      </c>
      <c r="Y54" s="169" t="s">
        <v>258</v>
      </c>
      <c r="Z54" s="169" t="s">
        <v>134</v>
      </c>
      <c r="AA54" s="169" t="s">
        <v>348</v>
      </c>
    </row>
    <row r="55" spans="1:27">
      <c r="A55" s="74" t="s">
        <v>285</v>
      </c>
      <c r="B55" s="75">
        <v>37</v>
      </c>
      <c r="W55" s="169">
        <v>37</v>
      </c>
      <c r="X55" s="169" t="s">
        <v>335</v>
      </c>
      <c r="Y55" s="169" t="s">
        <v>258</v>
      </c>
      <c r="Z55" s="169" t="s">
        <v>134</v>
      </c>
      <c r="AA55" s="169" t="s">
        <v>349</v>
      </c>
    </row>
    <row r="56" spans="1:27">
      <c r="A56" s="74" t="s">
        <v>285</v>
      </c>
      <c r="B56" s="75">
        <v>38</v>
      </c>
      <c r="W56" s="169">
        <v>38</v>
      </c>
      <c r="X56" s="169" t="s">
        <v>335</v>
      </c>
      <c r="Y56" s="169" t="s">
        <v>258</v>
      </c>
      <c r="Z56" s="169" t="s">
        <v>134</v>
      </c>
      <c r="AA56" s="169" t="s">
        <v>350</v>
      </c>
    </row>
    <row r="57" spans="1:27">
      <c r="A57" s="74" t="s">
        <v>285</v>
      </c>
      <c r="B57" s="75">
        <v>39</v>
      </c>
      <c r="W57" s="169">
        <v>39</v>
      </c>
      <c r="X57" s="169" t="s">
        <v>335</v>
      </c>
      <c r="Y57" s="169" t="s">
        <v>258</v>
      </c>
      <c r="Z57" s="169" t="s">
        <v>134</v>
      </c>
      <c r="AA57" s="169" t="s">
        <v>351</v>
      </c>
    </row>
    <row r="58" spans="1:27">
      <c r="A58" s="74" t="s">
        <v>285</v>
      </c>
      <c r="B58" s="75">
        <v>40</v>
      </c>
      <c r="W58" s="169">
        <v>40</v>
      </c>
      <c r="X58" s="169" t="s">
        <v>335</v>
      </c>
      <c r="Y58" s="169" t="s">
        <v>258</v>
      </c>
      <c r="Z58" s="169" t="s">
        <v>134</v>
      </c>
      <c r="AA58" s="169" t="s">
        <v>352</v>
      </c>
    </row>
    <row r="59" spans="1:27">
      <c r="A59" s="74" t="s">
        <v>285</v>
      </c>
      <c r="B59" s="75">
        <v>41</v>
      </c>
      <c r="W59" s="169">
        <v>41</v>
      </c>
      <c r="X59" s="169" t="s">
        <v>335</v>
      </c>
      <c r="Y59" s="169" t="s">
        <v>258</v>
      </c>
      <c r="Z59" s="169" t="s">
        <v>134</v>
      </c>
      <c r="AA59" s="169" t="s">
        <v>353</v>
      </c>
    </row>
    <row r="60" spans="1:27">
      <c r="A60" s="74" t="s">
        <v>285</v>
      </c>
      <c r="B60" s="75">
        <v>42</v>
      </c>
      <c r="W60" s="169">
        <v>42</v>
      </c>
      <c r="X60" s="169" t="s">
        <v>335</v>
      </c>
      <c r="Y60" s="169" t="s">
        <v>258</v>
      </c>
      <c r="Z60" s="169" t="s">
        <v>134</v>
      </c>
      <c r="AA60" s="169" t="s">
        <v>354</v>
      </c>
    </row>
    <row r="61" spans="1:27">
      <c r="A61" s="74" t="s">
        <v>285</v>
      </c>
      <c r="B61" s="75">
        <v>43</v>
      </c>
      <c r="W61" s="169">
        <v>43</v>
      </c>
      <c r="X61" s="169" t="s">
        <v>335</v>
      </c>
      <c r="Y61" s="169" t="s">
        <v>258</v>
      </c>
      <c r="Z61" s="169" t="s">
        <v>134</v>
      </c>
      <c r="AA61" s="169" t="s">
        <v>355</v>
      </c>
    </row>
    <row r="62" spans="1:27">
      <c r="A62" s="74" t="s">
        <v>285</v>
      </c>
      <c r="B62" s="75">
        <v>44</v>
      </c>
      <c r="W62" s="169">
        <v>44</v>
      </c>
      <c r="X62" s="169" t="s">
        <v>315</v>
      </c>
      <c r="Y62" s="169" t="s">
        <v>258</v>
      </c>
      <c r="Z62" s="169" t="s">
        <v>134</v>
      </c>
      <c r="AA62" s="169" t="s">
        <v>409</v>
      </c>
    </row>
    <row r="63" spans="1:27">
      <c r="A63" s="74" t="s">
        <v>285</v>
      </c>
      <c r="B63" s="75">
        <v>45</v>
      </c>
      <c r="W63" s="169">
        <v>45</v>
      </c>
      <c r="X63" s="169" t="s">
        <v>315</v>
      </c>
      <c r="Y63" s="169" t="s">
        <v>258</v>
      </c>
      <c r="Z63" s="169" t="s">
        <v>134</v>
      </c>
      <c r="AA63" s="169" t="s">
        <v>410</v>
      </c>
    </row>
    <row r="64" spans="1:27">
      <c r="A64" s="74" t="s">
        <v>285</v>
      </c>
      <c r="B64" s="75">
        <v>46</v>
      </c>
      <c r="W64" s="169">
        <v>46</v>
      </c>
      <c r="X64" s="169" t="s">
        <v>315</v>
      </c>
      <c r="Y64" s="169" t="s">
        <v>258</v>
      </c>
      <c r="Z64" s="169" t="s">
        <v>134</v>
      </c>
      <c r="AA64" s="169" t="s">
        <v>411</v>
      </c>
    </row>
    <row r="65" spans="1:27">
      <c r="A65" s="74" t="s">
        <v>285</v>
      </c>
      <c r="B65" s="75">
        <v>47</v>
      </c>
      <c r="W65" s="169">
        <v>47</v>
      </c>
      <c r="X65" s="169" t="s">
        <v>315</v>
      </c>
      <c r="Y65" s="169" t="s">
        <v>258</v>
      </c>
      <c r="Z65" s="169" t="s">
        <v>134</v>
      </c>
      <c r="AA65" s="169" t="s">
        <v>412</v>
      </c>
    </row>
    <row r="66" spans="1:27">
      <c r="A66" s="74" t="s">
        <v>285</v>
      </c>
      <c r="B66" s="75">
        <v>48</v>
      </c>
      <c r="W66" s="169">
        <v>48</v>
      </c>
      <c r="X66" s="169" t="s">
        <v>315</v>
      </c>
      <c r="Y66" s="169" t="s">
        <v>258</v>
      </c>
      <c r="Z66" s="169" t="s">
        <v>134</v>
      </c>
      <c r="AA66" s="169" t="s">
        <v>413</v>
      </c>
    </row>
    <row r="67" spans="1:27">
      <c r="A67" s="54" t="s">
        <v>285</v>
      </c>
      <c r="B67" s="90">
        <v>49</v>
      </c>
      <c r="C67" s="54" t="s">
        <v>25</v>
      </c>
      <c r="D67" s="54" t="s">
        <v>143</v>
      </c>
      <c r="E67" t="s">
        <v>134</v>
      </c>
      <c r="F67" t="s">
        <v>200</v>
      </c>
    </row>
    <row r="68" spans="1:27">
      <c r="A68" s="54" t="s">
        <v>285</v>
      </c>
      <c r="B68" s="90">
        <v>50</v>
      </c>
      <c r="C68" s="54" t="s">
        <v>25</v>
      </c>
      <c r="D68" s="54" t="s">
        <v>143</v>
      </c>
      <c r="E68" t="s">
        <v>134</v>
      </c>
      <c r="F68" t="s">
        <v>198</v>
      </c>
    </row>
    <row r="69" spans="1:27">
      <c r="A69" s="74" t="s">
        <v>285</v>
      </c>
      <c r="B69" s="75">
        <v>51</v>
      </c>
    </row>
    <row r="70" spans="1:27">
      <c r="A70" s="54" t="s">
        <v>285</v>
      </c>
      <c r="B70" s="90">
        <v>52</v>
      </c>
      <c r="C70" s="72" t="s">
        <v>26</v>
      </c>
      <c r="D70" s="72" t="s">
        <v>143</v>
      </c>
      <c r="E70" s="72" t="s">
        <v>134</v>
      </c>
      <c r="F70" s="192" t="s">
        <v>789</v>
      </c>
    </row>
    <row r="71" spans="1:27">
      <c r="A71" s="74" t="s">
        <v>285</v>
      </c>
      <c r="B71" s="75">
        <v>53</v>
      </c>
      <c r="C71"/>
      <c r="D71"/>
      <c r="E71"/>
    </row>
    <row r="72" spans="1:27">
      <c r="A72" t="s">
        <v>285</v>
      </c>
      <c r="B72" s="89" t="s">
        <v>284</v>
      </c>
      <c r="C72" t="s">
        <v>25</v>
      </c>
      <c r="D72" t="s">
        <v>148</v>
      </c>
      <c r="E72" t="s">
        <v>27</v>
      </c>
      <c r="F72" t="s">
        <v>283</v>
      </c>
    </row>
    <row r="73" spans="1:27">
      <c r="A73" t="s">
        <v>285</v>
      </c>
      <c r="B73" s="93" t="s">
        <v>473</v>
      </c>
      <c r="C73" t="s">
        <v>315</v>
      </c>
      <c r="D73" t="s">
        <v>134</v>
      </c>
      <c r="E73" t="s">
        <v>134</v>
      </c>
      <c r="F73" t="s">
        <v>474</v>
      </c>
    </row>
    <row r="74" spans="1:27">
      <c r="A74" t="s">
        <v>285</v>
      </c>
      <c r="B74" s="93" t="s">
        <v>475</v>
      </c>
      <c r="C74" t="s">
        <v>315</v>
      </c>
      <c r="D74" t="s">
        <v>134</v>
      </c>
      <c r="E74" t="s">
        <v>134</v>
      </c>
      <c r="F74" t="s">
        <v>476</v>
      </c>
    </row>
    <row r="75" spans="1:27">
      <c r="A75" t="s">
        <v>533</v>
      </c>
      <c r="B75" s="93" t="s">
        <v>534</v>
      </c>
      <c r="C75" t="s">
        <v>335</v>
      </c>
      <c r="D75" t="s">
        <v>148</v>
      </c>
      <c r="E75" t="s">
        <v>134</v>
      </c>
      <c r="F75" t="s">
        <v>548</v>
      </c>
    </row>
    <row r="76" spans="1:27">
      <c r="A76" t="s">
        <v>533</v>
      </c>
      <c r="B76" s="93" t="s">
        <v>475</v>
      </c>
      <c r="C76" t="s">
        <v>507</v>
      </c>
      <c r="D76" t="s">
        <v>134</v>
      </c>
      <c r="E76" t="s">
        <v>134</v>
      </c>
      <c r="F76" t="s">
        <v>547</v>
      </c>
    </row>
    <row r="77" spans="1:27">
      <c r="A77" t="s">
        <v>533</v>
      </c>
      <c r="B77" s="93" t="s">
        <v>535</v>
      </c>
      <c r="C77" t="s">
        <v>507</v>
      </c>
      <c r="D77" t="s">
        <v>134</v>
      </c>
      <c r="E77" t="s">
        <v>134</v>
      </c>
      <c r="F77" s="210" t="s">
        <v>314</v>
      </c>
    </row>
    <row r="78" spans="1:27">
      <c r="A78" t="s">
        <v>533</v>
      </c>
      <c r="B78" s="93" t="s">
        <v>536</v>
      </c>
      <c r="C78" t="s">
        <v>315</v>
      </c>
      <c r="D78" t="s">
        <v>134</v>
      </c>
      <c r="E78" t="s">
        <v>134</v>
      </c>
      <c r="F78" t="s">
        <v>813</v>
      </c>
    </row>
    <row r="79" spans="1:27">
      <c r="A79" t="s">
        <v>533</v>
      </c>
      <c r="B79" s="93" t="s">
        <v>537</v>
      </c>
      <c r="C79" t="s">
        <v>315</v>
      </c>
      <c r="D79" t="s">
        <v>134</v>
      </c>
      <c r="E79" t="s">
        <v>134</v>
      </c>
      <c r="F79" t="s">
        <v>814</v>
      </c>
    </row>
    <row r="80" spans="1:27">
      <c r="A80" t="s">
        <v>533</v>
      </c>
      <c r="B80" s="93" t="s">
        <v>332</v>
      </c>
      <c r="C80" t="s">
        <v>507</v>
      </c>
      <c r="D80" s="10" t="s">
        <v>258</v>
      </c>
      <c r="E80" t="s">
        <v>134</v>
      </c>
      <c r="F80" t="s">
        <v>549</v>
      </c>
    </row>
    <row r="81" spans="1:6">
      <c r="A81" t="s">
        <v>533</v>
      </c>
      <c r="B81" s="93" t="s">
        <v>333</v>
      </c>
      <c r="C81" t="s">
        <v>507</v>
      </c>
      <c r="D81" s="10" t="s">
        <v>258</v>
      </c>
      <c r="E81" t="s">
        <v>134</v>
      </c>
      <c r="F81" t="s">
        <v>550</v>
      </c>
    </row>
    <row r="82" spans="1:6">
      <c r="A82" t="s">
        <v>533</v>
      </c>
      <c r="B82" s="93" t="s">
        <v>334</v>
      </c>
      <c r="C82" t="s">
        <v>507</v>
      </c>
      <c r="D82" s="10" t="s">
        <v>258</v>
      </c>
      <c r="E82" t="s">
        <v>134</v>
      </c>
      <c r="F82" t="s">
        <v>555</v>
      </c>
    </row>
    <row r="83" spans="1:6">
      <c r="A83" t="s">
        <v>533</v>
      </c>
      <c r="B83" s="93" t="s">
        <v>538</v>
      </c>
      <c r="C83" t="s">
        <v>507</v>
      </c>
      <c r="D83" s="10" t="s">
        <v>258</v>
      </c>
      <c r="E83" t="s">
        <v>134</v>
      </c>
      <c r="F83" t="s">
        <v>551</v>
      </c>
    </row>
    <row r="84" spans="1:6">
      <c r="A84" t="s">
        <v>533</v>
      </c>
      <c r="B84" s="93" t="s">
        <v>539</v>
      </c>
      <c r="C84" t="s">
        <v>507</v>
      </c>
      <c r="D84" s="10" t="s">
        <v>258</v>
      </c>
      <c r="E84" t="s">
        <v>134</v>
      </c>
      <c r="F84" t="s">
        <v>552</v>
      </c>
    </row>
    <row r="85" spans="1:6">
      <c r="A85" t="s">
        <v>533</v>
      </c>
      <c r="B85" s="93" t="s">
        <v>540</v>
      </c>
      <c r="C85" t="s">
        <v>507</v>
      </c>
      <c r="D85" s="10" t="s">
        <v>258</v>
      </c>
      <c r="E85" t="s">
        <v>134</v>
      </c>
      <c r="F85" t="s">
        <v>553</v>
      </c>
    </row>
    <row r="86" spans="1:6">
      <c r="A86" t="s">
        <v>533</v>
      </c>
      <c r="B86" s="93" t="s">
        <v>541</v>
      </c>
      <c r="C86" t="s">
        <v>507</v>
      </c>
      <c r="D86" s="10" t="s">
        <v>258</v>
      </c>
      <c r="E86" t="s">
        <v>134</v>
      </c>
      <c r="F86" t="s">
        <v>556</v>
      </c>
    </row>
    <row r="87" spans="1:6">
      <c r="A87" t="s">
        <v>533</v>
      </c>
      <c r="B87" s="93" t="s">
        <v>542</v>
      </c>
      <c r="C87" t="s">
        <v>507</v>
      </c>
      <c r="D87" s="10" t="s">
        <v>258</v>
      </c>
      <c r="E87" t="s">
        <v>134</v>
      </c>
      <c r="F87" t="s">
        <v>554</v>
      </c>
    </row>
    <row r="88" spans="1:6">
      <c r="A88" t="s">
        <v>533</v>
      </c>
      <c r="B88" s="93" t="s">
        <v>543</v>
      </c>
      <c r="C88" t="s">
        <v>507</v>
      </c>
      <c r="D88" s="10" t="s">
        <v>258</v>
      </c>
      <c r="E88" t="s">
        <v>134</v>
      </c>
      <c r="F88" t="s">
        <v>557</v>
      </c>
    </row>
    <row r="89" spans="1:6">
      <c r="A89" t="s">
        <v>533</v>
      </c>
      <c r="B89" s="93" t="s">
        <v>544</v>
      </c>
      <c r="C89" t="s">
        <v>507</v>
      </c>
      <c r="D89" s="10" t="s">
        <v>258</v>
      </c>
      <c r="E89" t="s">
        <v>134</v>
      </c>
      <c r="F89" t="s">
        <v>559</v>
      </c>
    </row>
    <row r="90" spans="1:6">
      <c r="A90" t="s">
        <v>533</v>
      </c>
      <c r="B90" s="93" t="s">
        <v>545</v>
      </c>
      <c r="C90" t="s">
        <v>507</v>
      </c>
      <c r="D90" s="10" t="s">
        <v>258</v>
      </c>
      <c r="E90" t="s">
        <v>134</v>
      </c>
      <c r="F90" t="s">
        <v>558</v>
      </c>
    </row>
    <row r="91" spans="1:6">
      <c r="A91" s="74" t="s">
        <v>533</v>
      </c>
      <c r="B91" s="86" t="s">
        <v>546</v>
      </c>
      <c r="C91"/>
      <c r="D91"/>
      <c r="E91"/>
    </row>
    <row r="92" spans="1:6">
      <c r="A92" s="74" t="s">
        <v>533</v>
      </c>
      <c r="B92" s="86" t="s">
        <v>301</v>
      </c>
      <c r="C92"/>
      <c r="D92"/>
      <c r="E92"/>
    </row>
    <row r="93" spans="1:6">
      <c r="A93" t="s">
        <v>533</v>
      </c>
      <c r="B93" s="93" t="s">
        <v>299</v>
      </c>
      <c r="C93" t="s">
        <v>507</v>
      </c>
      <c r="D93" s="10" t="s">
        <v>258</v>
      </c>
      <c r="E93" t="s">
        <v>32</v>
      </c>
      <c r="F93" t="s">
        <v>562</v>
      </c>
    </row>
    <row r="94" spans="1:6">
      <c r="A94" t="s">
        <v>533</v>
      </c>
      <c r="B94" s="93" t="s">
        <v>127</v>
      </c>
      <c r="C94" t="s">
        <v>507</v>
      </c>
      <c r="D94" s="10" t="s">
        <v>258</v>
      </c>
      <c r="E94" t="s">
        <v>32</v>
      </c>
      <c r="F94" t="s">
        <v>563</v>
      </c>
    </row>
    <row r="95" spans="1:6">
      <c r="A95" t="s">
        <v>533</v>
      </c>
      <c r="B95" s="93" t="s">
        <v>298</v>
      </c>
      <c r="C95" t="s">
        <v>507</v>
      </c>
      <c r="D95" s="10" t="s">
        <v>258</v>
      </c>
      <c r="E95" t="s">
        <v>32</v>
      </c>
      <c r="F95" t="s">
        <v>564</v>
      </c>
    </row>
    <row r="96" spans="1:6">
      <c r="A96" t="s">
        <v>533</v>
      </c>
      <c r="B96" s="93" t="s">
        <v>297</v>
      </c>
      <c r="C96" t="s">
        <v>507</v>
      </c>
      <c r="D96" s="10" t="s">
        <v>258</v>
      </c>
      <c r="E96" t="s">
        <v>32</v>
      </c>
      <c r="F96" t="s">
        <v>565</v>
      </c>
    </row>
    <row r="97" spans="1:27">
      <c r="A97" s="74" t="s">
        <v>533</v>
      </c>
      <c r="B97" s="86" t="s">
        <v>296</v>
      </c>
      <c r="C97"/>
      <c r="D97"/>
      <c r="E97"/>
    </row>
    <row r="98" spans="1:27">
      <c r="A98" s="74" t="s">
        <v>533</v>
      </c>
      <c r="B98" s="86" t="s">
        <v>295</v>
      </c>
      <c r="C98"/>
      <c r="D98"/>
      <c r="E98"/>
    </row>
    <row r="99" spans="1:27">
      <c r="A99" s="74" t="s">
        <v>533</v>
      </c>
      <c r="B99" s="86" t="s">
        <v>294</v>
      </c>
      <c r="C99"/>
      <c r="D99"/>
      <c r="E99"/>
    </row>
    <row r="100" spans="1:27">
      <c r="A100" s="54" t="s">
        <v>796</v>
      </c>
      <c r="B100" s="210" t="s">
        <v>535</v>
      </c>
      <c r="C100" s="10" t="s">
        <v>315</v>
      </c>
      <c r="D100" t="s">
        <v>134</v>
      </c>
      <c r="E100" t="s">
        <v>134</v>
      </c>
      <c r="F100" s="54" t="s">
        <v>314</v>
      </c>
      <c r="W100" s="54"/>
      <c r="X100" s="54"/>
      <c r="Y100" s="54"/>
      <c r="Z100" s="54"/>
      <c r="AA100" s="54"/>
    </row>
    <row r="101" spans="1:27">
      <c r="A101" s="54" t="s">
        <v>796</v>
      </c>
      <c r="B101" s="210" t="s">
        <v>475</v>
      </c>
      <c r="C101" s="10" t="s">
        <v>315</v>
      </c>
      <c r="D101" t="s">
        <v>134</v>
      </c>
      <c r="E101" t="s">
        <v>134</v>
      </c>
      <c r="F101" t="s">
        <v>547</v>
      </c>
      <c r="W101" s="54"/>
      <c r="X101" s="54"/>
      <c r="Y101" s="54"/>
      <c r="Z101" s="54"/>
      <c r="AA101" s="54"/>
    </row>
    <row r="102" spans="1:27">
      <c r="A102" s="54" t="s">
        <v>796</v>
      </c>
      <c r="B102" s="210" t="s">
        <v>534</v>
      </c>
      <c r="C102" s="10" t="s">
        <v>134</v>
      </c>
      <c r="D102" t="s">
        <v>134</v>
      </c>
      <c r="E102" t="s">
        <v>134</v>
      </c>
      <c r="F102" t="s">
        <v>548</v>
      </c>
      <c r="W102" s="54"/>
      <c r="X102" s="54"/>
      <c r="Y102" s="54"/>
      <c r="Z102" s="54"/>
      <c r="AA102" s="54"/>
    </row>
    <row r="103" spans="1:27">
      <c r="A103" s="74" t="s">
        <v>796</v>
      </c>
      <c r="B103" s="75" t="s">
        <v>797</v>
      </c>
      <c r="C103" s="210"/>
      <c r="D103"/>
      <c r="E103"/>
      <c r="W103" s="54"/>
      <c r="X103" s="54"/>
      <c r="Y103" s="54"/>
      <c r="Z103" s="54"/>
      <c r="AA103" s="54"/>
    </row>
    <row r="104" spans="1:27">
      <c r="A104" s="74" t="s">
        <v>796</v>
      </c>
      <c r="B104" s="75" t="s">
        <v>798</v>
      </c>
      <c r="C104" s="210"/>
      <c r="D104"/>
      <c r="E104"/>
      <c r="W104" s="54"/>
      <c r="X104" s="54"/>
      <c r="Y104" s="54"/>
      <c r="Z104" s="54"/>
      <c r="AA104" s="54"/>
    </row>
    <row r="105" spans="1:27">
      <c r="A105" s="74" t="s">
        <v>796</v>
      </c>
      <c r="B105" s="75" t="s">
        <v>799</v>
      </c>
      <c r="W105" s="54"/>
      <c r="X105" s="54"/>
      <c r="Y105" s="54"/>
      <c r="Z105" s="54"/>
      <c r="AA105" s="54"/>
    </row>
    <row r="106" spans="1:27">
      <c r="A106" s="74" t="s">
        <v>796</v>
      </c>
      <c r="B106" s="75" t="s">
        <v>800</v>
      </c>
      <c r="W106" s="54"/>
      <c r="X106" s="54"/>
      <c r="Y106" s="54"/>
      <c r="Z106" s="54"/>
      <c r="AA106" s="54"/>
    </row>
    <row r="107" spans="1:27">
      <c r="A107" s="74" t="s">
        <v>796</v>
      </c>
      <c r="B107" s="75" t="s">
        <v>801</v>
      </c>
      <c r="W107" s="54"/>
      <c r="X107" s="54"/>
      <c r="Y107" s="54"/>
      <c r="Z107" s="54"/>
      <c r="AA107" s="54"/>
    </row>
    <row r="108" spans="1:27">
      <c r="A108" s="54" t="s">
        <v>796</v>
      </c>
      <c r="B108" s="10" t="s">
        <v>802</v>
      </c>
      <c r="C108" s="10" t="s">
        <v>315</v>
      </c>
      <c r="D108" s="10" t="s">
        <v>258</v>
      </c>
      <c r="E108" s="10" t="s">
        <v>134</v>
      </c>
      <c r="F108" t="s">
        <v>343</v>
      </c>
      <c r="W108" s="54"/>
      <c r="X108" s="54"/>
      <c r="Y108" s="54"/>
      <c r="Z108" s="54"/>
      <c r="AA108" s="54"/>
    </row>
    <row r="109" spans="1:27">
      <c r="A109" s="54" t="s">
        <v>796</v>
      </c>
      <c r="B109" s="10" t="s">
        <v>803</v>
      </c>
      <c r="C109" s="10" t="s">
        <v>315</v>
      </c>
      <c r="D109" s="10" t="s">
        <v>258</v>
      </c>
      <c r="E109" s="10" t="s">
        <v>134</v>
      </c>
      <c r="F109" t="s">
        <v>342</v>
      </c>
      <c r="W109" s="54"/>
      <c r="X109" s="54"/>
      <c r="Y109" s="54"/>
      <c r="Z109" s="54"/>
      <c r="AA109" s="54"/>
    </row>
    <row r="110" spans="1:27">
      <c r="A110" s="54" t="s">
        <v>796</v>
      </c>
      <c r="B110" s="10" t="s">
        <v>804</v>
      </c>
      <c r="C110" s="10" t="s">
        <v>315</v>
      </c>
      <c r="D110" s="10" t="s">
        <v>258</v>
      </c>
      <c r="E110" s="10" t="s">
        <v>134</v>
      </c>
      <c r="F110" t="s">
        <v>341</v>
      </c>
      <c r="W110" s="54"/>
      <c r="X110" s="54"/>
      <c r="Y110" s="54"/>
      <c r="Z110" s="54"/>
      <c r="AA110" s="54"/>
    </row>
    <row r="111" spans="1:27">
      <c r="A111" s="54" t="s">
        <v>796</v>
      </c>
      <c r="B111" s="10" t="s">
        <v>805</v>
      </c>
      <c r="C111" s="10" t="s">
        <v>315</v>
      </c>
      <c r="D111" s="10" t="s">
        <v>258</v>
      </c>
      <c r="E111" s="10" t="s">
        <v>134</v>
      </c>
      <c r="F111" t="s">
        <v>337</v>
      </c>
      <c r="W111" s="54"/>
      <c r="X111" s="54"/>
      <c r="Y111" s="54"/>
      <c r="Z111" s="54"/>
      <c r="AA111" s="54"/>
    </row>
    <row r="112" spans="1:27">
      <c r="A112" s="74" t="s">
        <v>796</v>
      </c>
      <c r="B112" s="75" t="s">
        <v>806</v>
      </c>
      <c r="C112" s="210"/>
      <c r="D112"/>
      <c r="E112"/>
      <c r="W112" s="54"/>
      <c r="X112" s="54"/>
      <c r="Y112" s="54"/>
      <c r="Z112" s="54"/>
      <c r="AA112" s="54"/>
    </row>
    <row r="113" spans="1:27">
      <c r="A113" s="74" t="s">
        <v>796</v>
      </c>
      <c r="B113" s="75" t="s">
        <v>807</v>
      </c>
      <c r="C113" s="210"/>
      <c r="D113"/>
      <c r="E113"/>
      <c r="W113" s="54"/>
      <c r="X113" s="54"/>
      <c r="Y113" s="54"/>
      <c r="Z113" s="54"/>
      <c r="AA113" s="54"/>
    </row>
    <row r="114" spans="1:27">
      <c r="A114" s="74" t="s">
        <v>796</v>
      </c>
      <c r="B114" s="75" t="s">
        <v>546</v>
      </c>
      <c r="C114" s="210"/>
      <c r="D114"/>
      <c r="E114"/>
      <c r="W114" s="54"/>
      <c r="X114" s="54"/>
      <c r="Y114" s="54"/>
      <c r="Z114" s="54"/>
      <c r="AA114" s="54"/>
    </row>
    <row r="115" spans="1:27">
      <c r="A115" s="54" t="s">
        <v>796</v>
      </c>
      <c r="B115" s="10" t="s">
        <v>545</v>
      </c>
      <c r="C115" s="10" t="s">
        <v>315</v>
      </c>
      <c r="D115" s="10" t="s">
        <v>258</v>
      </c>
      <c r="E115" s="10" t="s">
        <v>134</v>
      </c>
      <c r="F115" t="s">
        <v>340</v>
      </c>
      <c r="W115" s="54"/>
      <c r="X115" s="54"/>
      <c r="Y115" s="54"/>
      <c r="Z115" s="54"/>
      <c r="AA115" s="54"/>
    </row>
    <row r="116" spans="1:27">
      <c r="A116" s="54" t="s">
        <v>796</v>
      </c>
      <c r="B116" s="10" t="s">
        <v>544</v>
      </c>
      <c r="C116" s="10" t="s">
        <v>315</v>
      </c>
      <c r="D116" s="10" t="s">
        <v>258</v>
      </c>
      <c r="E116" s="10" t="s">
        <v>134</v>
      </c>
      <c r="F116" t="s">
        <v>338</v>
      </c>
      <c r="W116" s="54"/>
      <c r="X116" s="54"/>
      <c r="Y116" s="54"/>
      <c r="Z116" s="54"/>
      <c r="AA116" s="54"/>
    </row>
    <row r="117" spans="1:27">
      <c r="A117" s="54" t="s">
        <v>796</v>
      </c>
      <c r="B117" s="10" t="s">
        <v>543</v>
      </c>
      <c r="C117" s="10" t="s">
        <v>315</v>
      </c>
      <c r="D117" s="10" t="s">
        <v>258</v>
      </c>
      <c r="E117" s="10" t="s">
        <v>134</v>
      </c>
      <c r="F117" t="s">
        <v>339</v>
      </c>
      <c r="W117" s="54"/>
      <c r="X117" s="54"/>
      <c r="Y117" s="54"/>
      <c r="Z117" s="54"/>
      <c r="AA117" s="54"/>
    </row>
    <row r="118" spans="1:27">
      <c r="A118" s="54" t="s">
        <v>796</v>
      </c>
      <c r="B118" s="10" t="s">
        <v>542</v>
      </c>
      <c r="C118" s="10" t="s">
        <v>315</v>
      </c>
      <c r="D118" s="10" t="s">
        <v>258</v>
      </c>
      <c r="E118" s="10" t="s">
        <v>134</v>
      </c>
      <c r="F118" t="s">
        <v>336</v>
      </c>
      <c r="W118" s="54"/>
      <c r="X118" s="54"/>
      <c r="Y118" s="54"/>
      <c r="Z118" s="54"/>
      <c r="AA118" s="54"/>
    </row>
    <row r="119" spans="1:27">
      <c r="A119" s="54" t="s">
        <v>796</v>
      </c>
      <c r="B119" s="10" t="s">
        <v>541</v>
      </c>
      <c r="C119" s="210" t="s">
        <v>315</v>
      </c>
      <c r="D119" t="s">
        <v>258</v>
      </c>
      <c r="E119" t="s">
        <v>134</v>
      </c>
      <c r="F119" t="s">
        <v>713</v>
      </c>
      <c r="W119" s="54"/>
      <c r="X119" s="54"/>
      <c r="Y119" s="54"/>
      <c r="Z119" s="54"/>
      <c r="AA119" s="54"/>
    </row>
    <row r="120" spans="1:27">
      <c r="A120" s="54" t="s">
        <v>796</v>
      </c>
      <c r="B120" s="10" t="s">
        <v>540</v>
      </c>
      <c r="C120" s="210" t="s">
        <v>315</v>
      </c>
      <c r="D120" t="s">
        <v>258</v>
      </c>
      <c r="E120" t="s">
        <v>134</v>
      </c>
      <c r="F120" t="s">
        <v>712</v>
      </c>
      <c r="W120" s="54"/>
      <c r="X120" s="54"/>
      <c r="Y120" s="54"/>
      <c r="Z120" s="54"/>
      <c r="AA120" s="54"/>
    </row>
    <row r="121" spans="1:27">
      <c r="A121" s="54" t="s">
        <v>796</v>
      </c>
      <c r="B121" s="10" t="s">
        <v>539</v>
      </c>
      <c r="C121" s="210" t="s">
        <v>315</v>
      </c>
      <c r="D121" t="s">
        <v>258</v>
      </c>
      <c r="E121" t="s">
        <v>134</v>
      </c>
      <c r="F121" t="s">
        <v>413</v>
      </c>
      <c r="W121" s="54"/>
      <c r="X121" s="54"/>
      <c r="Y121" s="54"/>
      <c r="Z121" s="54"/>
      <c r="AA121" s="54"/>
    </row>
    <row r="122" spans="1:27">
      <c r="A122" s="54" t="s">
        <v>796</v>
      </c>
      <c r="B122" s="10" t="s">
        <v>538</v>
      </c>
      <c r="C122" s="210" t="s">
        <v>315</v>
      </c>
      <c r="D122" t="s">
        <v>258</v>
      </c>
      <c r="E122" t="s">
        <v>134</v>
      </c>
      <c r="F122" t="s">
        <v>412</v>
      </c>
      <c r="W122" s="54"/>
      <c r="X122" s="54"/>
      <c r="Y122" s="54"/>
      <c r="Z122" s="54"/>
      <c r="AA122" s="54"/>
    </row>
    <row r="123" spans="1:27">
      <c r="A123" s="54" t="s">
        <v>796</v>
      </c>
      <c r="B123" s="10" t="s">
        <v>334</v>
      </c>
      <c r="C123" s="210" t="s">
        <v>315</v>
      </c>
      <c r="D123" t="s">
        <v>258</v>
      </c>
      <c r="E123" t="s">
        <v>134</v>
      </c>
      <c r="F123" t="s">
        <v>411</v>
      </c>
      <c r="W123" s="54"/>
      <c r="X123" s="54"/>
      <c r="Y123" s="54"/>
      <c r="Z123" s="54"/>
      <c r="AA123" s="54"/>
    </row>
    <row r="124" spans="1:27">
      <c r="A124" s="54" t="s">
        <v>796</v>
      </c>
      <c r="B124" s="10" t="s">
        <v>333</v>
      </c>
      <c r="C124" s="210" t="s">
        <v>315</v>
      </c>
      <c r="D124" t="s">
        <v>258</v>
      </c>
      <c r="E124" t="s">
        <v>134</v>
      </c>
      <c r="F124" t="s">
        <v>410</v>
      </c>
      <c r="W124" s="54"/>
      <c r="X124" s="54"/>
      <c r="Y124" s="54"/>
      <c r="Z124" s="54"/>
      <c r="AA124" s="54"/>
    </row>
    <row r="125" spans="1:27">
      <c r="A125" s="54" t="s">
        <v>796</v>
      </c>
      <c r="B125" s="10" t="s">
        <v>332</v>
      </c>
      <c r="C125" s="210" t="s">
        <v>315</v>
      </c>
      <c r="D125" t="s">
        <v>258</v>
      </c>
      <c r="E125" t="s">
        <v>134</v>
      </c>
      <c r="F125" t="s">
        <v>409</v>
      </c>
      <c r="W125" s="54"/>
      <c r="X125" s="54"/>
      <c r="Y125" s="54"/>
      <c r="Z125" s="54"/>
      <c r="AA125" s="54"/>
    </row>
    <row r="126" spans="1:27">
      <c r="A126" s="74" t="s">
        <v>796</v>
      </c>
      <c r="B126" s="86" t="s">
        <v>475</v>
      </c>
      <c r="C126"/>
      <c r="D126"/>
      <c r="E126"/>
      <c r="W126" s="54"/>
      <c r="X126" s="54"/>
      <c r="Y126" s="54"/>
      <c r="Z126" s="54"/>
      <c r="AA126" s="54"/>
    </row>
    <row r="127" spans="1:27">
      <c r="A127" s="74" t="s">
        <v>796</v>
      </c>
      <c r="B127" s="86" t="s">
        <v>534</v>
      </c>
      <c r="C127"/>
      <c r="D127"/>
      <c r="E127"/>
      <c r="W127" s="54"/>
      <c r="X127" s="54"/>
      <c r="Y127" s="54"/>
      <c r="Z127" s="54"/>
      <c r="AA127" s="54"/>
    </row>
    <row r="128" spans="1:27">
      <c r="A128" s="54" t="s">
        <v>796</v>
      </c>
      <c r="B128" s="210" t="s">
        <v>537</v>
      </c>
      <c r="C128" s="210" t="s">
        <v>315</v>
      </c>
      <c r="D128" t="s">
        <v>134</v>
      </c>
      <c r="E128" t="s">
        <v>134</v>
      </c>
      <c r="F128" s="54" t="s">
        <v>809</v>
      </c>
      <c r="W128" s="54"/>
      <c r="X128" s="54"/>
      <c r="Y128" s="54"/>
      <c r="Z128" s="54"/>
      <c r="AA128" s="54"/>
    </row>
    <row r="129" spans="1:27">
      <c r="A129" s="54" t="s">
        <v>796</v>
      </c>
      <c r="B129" s="210" t="s">
        <v>536</v>
      </c>
      <c r="C129" s="210" t="s">
        <v>315</v>
      </c>
      <c r="D129" t="s">
        <v>134</v>
      </c>
      <c r="E129" t="s">
        <v>134</v>
      </c>
      <c r="F129" s="54" t="s">
        <v>810</v>
      </c>
      <c r="W129" s="54"/>
      <c r="X129" s="54"/>
      <c r="Y129" s="54"/>
      <c r="Z129" s="54"/>
      <c r="AA129" s="54"/>
    </row>
    <row r="130" spans="1:27">
      <c r="A130" s="54" t="s">
        <v>808</v>
      </c>
      <c r="B130" s="210" t="s">
        <v>535</v>
      </c>
      <c r="C130" s="10" t="s">
        <v>315</v>
      </c>
      <c r="D130" t="s">
        <v>134</v>
      </c>
      <c r="E130" t="s">
        <v>134</v>
      </c>
      <c r="F130" s="54" t="s">
        <v>314</v>
      </c>
      <c r="W130" s="54"/>
      <c r="X130" s="54"/>
      <c r="Y130" s="54"/>
      <c r="Z130" s="54"/>
      <c r="AA130" s="54"/>
    </row>
    <row r="131" spans="1:27">
      <c r="A131" s="54" t="s">
        <v>808</v>
      </c>
      <c r="B131" s="210" t="s">
        <v>475</v>
      </c>
      <c r="C131" s="10" t="s">
        <v>315</v>
      </c>
      <c r="D131" t="s">
        <v>134</v>
      </c>
      <c r="E131" t="s">
        <v>134</v>
      </c>
      <c r="F131" t="s">
        <v>547</v>
      </c>
      <c r="W131" s="54"/>
      <c r="X131" s="54"/>
      <c r="Y131" s="54"/>
      <c r="Z131" s="54"/>
      <c r="AA131" s="54"/>
    </row>
    <row r="132" spans="1:27">
      <c r="A132" s="54" t="s">
        <v>808</v>
      </c>
      <c r="B132" s="210" t="s">
        <v>534</v>
      </c>
      <c r="C132" s="10" t="s">
        <v>134</v>
      </c>
      <c r="D132" t="s">
        <v>134</v>
      </c>
      <c r="E132" t="s">
        <v>134</v>
      </c>
      <c r="F132" t="s">
        <v>548</v>
      </c>
      <c r="W132" s="54"/>
      <c r="X132" s="54"/>
      <c r="Y132" s="54"/>
      <c r="Z132" s="54"/>
      <c r="AA132" s="54"/>
    </row>
    <row r="133" spans="1:27">
      <c r="A133" s="74" t="s">
        <v>808</v>
      </c>
      <c r="B133" s="75" t="s">
        <v>797</v>
      </c>
      <c r="C133"/>
      <c r="D133"/>
      <c r="E133"/>
      <c r="W133" s="54"/>
      <c r="X133" s="54"/>
      <c r="Y133" s="54"/>
      <c r="Z133" s="54"/>
      <c r="AA133" s="54"/>
    </row>
    <row r="134" spans="1:27">
      <c r="A134" s="74" t="s">
        <v>808</v>
      </c>
      <c r="B134" s="75" t="s">
        <v>798</v>
      </c>
      <c r="C134"/>
      <c r="D134"/>
      <c r="E134"/>
      <c r="W134" s="54"/>
      <c r="X134" s="54"/>
      <c r="Y134" s="54"/>
      <c r="Z134" s="54"/>
      <c r="AA134" s="54"/>
    </row>
    <row r="135" spans="1:27">
      <c r="A135" s="74" t="s">
        <v>808</v>
      </c>
      <c r="B135" s="75" t="s">
        <v>799</v>
      </c>
      <c r="C135"/>
      <c r="D135"/>
      <c r="E135"/>
      <c r="W135" s="54"/>
      <c r="X135" s="54"/>
      <c r="Y135" s="54"/>
      <c r="Z135" s="54"/>
      <c r="AA135" s="54"/>
    </row>
    <row r="136" spans="1:27">
      <c r="A136" s="74" t="s">
        <v>808</v>
      </c>
      <c r="B136" s="75" t="s">
        <v>800</v>
      </c>
      <c r="C136"/>
      <c r="D136"/>
      <c r="E136"/>
      <c r="W136" s="54"/>
      <c r="X136" s="54"/>
      <c r="Y136" s="54"/>
      <c r="Z136" s="54"/>
      <c r="AA136" s="54"/>
    </row>
    <row r="137" spans="1:27">
      <c r="A137" s="74" t="s">
        <v>808</v>
      </c>
      <c r="B137" s="75" t="s">
        <v>801</v>
      </c>
      <c r="C137"/>
      <c r="D137"/>
      <c r="E137"/>
      <c r="W137" s="54"/>
      <c r="X137" s="54"/>
      <c r="Y137" s="54"/>
      <c r="Z137" s="54"/>
      <c r="AA137" s="54"/>
    </row>
    <row r="138" spans="1:27">
      <c r="A138" s="74" t="s">
        <v>808</v>
      </c>
      <c r="B138" s="75" t="s">
        <v>802</v>
      </c>
      <c r="C138"/>
      <c r="D138"/>
      <c r="E138"/>
      <c r="W138" s="54"/>
      <c r="X138" s="54"/>
      <c r="Y138" s="54"/>
      <c r="Z138" s="54"/>
      <c r="AA138" s="54"/>
    </row>
    <row r="139" spans="1:27">
      <c r="A139" s="74" t="s">
        <v>808</v>
      </c>
      <c r="B139" s="75" t="s">
        <v>803</v>
      </c>
      <c r="C139"/>
      <c r="D139"/>
      <c r="E139"/>
      <c r="W139" s="54"/>
      <c r="X139" s="54"/>
      <c r="Y139" s="54"/>
      <c r="Z139" s="54"/>
      <c r="AA139" s="54"/>
    </row>
    <row r="140" spans="1:27">
      <c r="A140" s="54" t="s">
        <v>808</v>
      </c>
      <c r="B140" s="10" t="s">
        <v>804</v>
      </c>
      <c r="C140" t="s">
        <v>335</v>
      </c>
      <c r="D140" t="s">
        <v>258</v>
      </c>
      <c r="E140" t="s">
        <v>134</v>
      </c>
      <c r="F140" t="s">
        <v>355</v>
      </c>
      <c r="W140" s="54"/>
      <c r="X140" s="54"/>
      <c r="Y140" s="54"/>
      <c r="Z140" s="54"/>
      <c r="AA140" s="54"/>
    </row>
    <row r="141" spans="1:27">
      <c r="A141" s="54" t="s">
        <v>808</v>
      </c>
      <c r="B141" s="10" t="s">
        <v>805</v>
      </c>
      <c r="C141" t="s">
        <v>335</v>
      </c>
      <c r="D141" t="s">
        <v>258</v>
      </c>
      <c r="E141" t="s">
        <v>134</v>
      </c>
      <c r="F141" t="s">
        <v>354</v>
      </c>
      <c r="W141" s="54"/>
      <c r="X141" s="54"/>
      <c r="Y141" s="54"/>
      <c r="Z141" s="54"/>
      <c r="AA141" s="54"/>
    </row>
    <row r="142" spans="1:27">
      <c r="A142" s="74" t="s">
        <v>808</v>
      </c>
      <c r="B142" s="75" t="s">
        <v>806</v>
      </c>
      <c r="C142"/>
      <c r="D142"/>
      <c r="E142"/>
      <c r="W142" s="54"/>
      <c r="X142" s="54"/>
      <c r="Y142" s="54"/>
      <c r="Z142" s="54"/>
      <c r="AA142" s="54"/>
    </row>
    <row r="143" spans="1:27">
      <c r="A143" s="74" t="s">
        <v>808</v>
      </c>
      <c r="B143" s="75" t="s">
        <v>807</v>
      </c>
      <c r="C143"/>
      <c r="D143"/>
      <c r="E143"/>
      <c r="W143" s="54"/>
      <c r="X143" s="54"/>
      <c r="Y143" s="54"/>
      <c r="Z143" s="54"/>
      <c r="AA143" s="54"/>
    </row>
    <row r="144" spans="1:27">
      <c r="A144" s="74" t="s">
        <v>808</v>
      </c>
      <c r="B144" s="75" t="s">
        <v>546</v>
      </c>
      <c r="C144"/>
      <c r="D144"/>
      <c r="E144"/>
      <c r="W144" s="54"/>
      <c r="X144" s="54"/>
      <c r="Y144" s="54"/>
      <c r="Z144" s="54"/>
      <c r="AA144" s="54"/>
    </row>
    <row r="145" spans="1:27">
      <c r="A145" s="74" t="s">
        <v>808</v>
      </c>
      <c r="B145" s="75" t="s">
        <v>545</v>
      </c>
      <c r="C145"/>
      <c r="D145"/>
      <c r="E145"/>
      <c r="W145" s="54"/>
      <c r="X145" s="54"/>
      <c r="Y145" s="54"/>
      <c r="Z145" s="54"/>
      <c r="AA145" s="54"/>
    </row>
    <row r="146" spans="1:27">
      <c r="A146" s="54" t="s">
        <v>808</v>
      </c>
      <c r="B146" s="10" t="s">
        <v>544</v>
      </c>
      <c r="C146" t="s">
        <v>335</v>
      </c>
      <c r="D146" t="s">
        <v>258</v>
      </c>
      <c r="E146" t="s">
        <v>134</v>
      </c>
      <c r="F146" t="s">
        <v>353</v>
      </c>
      <c r="W146" s="54"/>
      <c r="X146" s="54"/>
      <c r="Y146" s="54"/>
      <c r="Z146" s="54"/>
      <c r="AA146" s="54"/>
    </row>
    <row r="147" spans="1:27">
      <c r="A147" s="54" t="s">
        <v>808</v>
      </c>
      <c r="B147" s="10" t="s">
        <v>543</v>
      </c>
      <c r="C147" t="s">
        <v>335</v>
      </c>
      <c r="D147" t="s">
        <v>258</v>
      </c>
      <c r="E147" t="s">
        <v>134</v>
      </c>
      <c r="F147" t="s">
        <v>352</v>
      </c>
      <c r="W147" s="54"/>
      <c r="X147" s="54"/>
      <c r="Y147" s="54"/>
      <c r="Z147" s="54"/>
      <c r="AA147" s="54"/>
    </row>
    <row r="148" spans="1:27">
      <c r="A148" s="54" t="s">
        <v>808</v>
      </c>
      <c r="B148" s="10" t="s">
        <v>542</v>
      </c>
      <c r="C148" t="s">
        <v>335</v>
      </c>
      <c r="D148" t="s">
        <v>258</v>
      </c>
      <c r="E148" t="s">
        <v>134</v>
      </c>
      <c r="F148" t="s">
        <v>351</v>
      </c>
      <c r="W148" s="54"/>
      <c r="X148" s="54"/>
      <c r="Y148" s="54"/>
      <c r="Z148" s="54"/>
      <c r="AA148" s="54"/>
    </row>
    <row r="149" spans="1:27">
      <c r="A149" s="54" t="s">
        <v>808</v>
      </c>
      <c r="B149" s="10" t="s">
        <v>541</v>
      </c>
      <c r="C149" t="s">
        <v>335</v>
      </c>
      <c r="D149" t="s">
        <v>258</v>
      </c>
      <c r="E149" t="s">
        <v>134</v>
      </c>
      <c r="F149" t="s">
        <v>350</v>
      </c>
      <c r="W149" s="54"/>
      <c r="X149" s="54"/>
      <c r="Y149" s="54"/>
      <c r="Z149" s="54"/>
      <c r="AA149" s="54"/>
    </row>
    <row r="150" spans="1:27">
      <c r="A150" s="54" t="s">
        <v>808</v>
      </c>
      <c r="B150" s="10" t="s">
        <v>540</v>
      </c>
      <c r="C150" t="s">
        <v>335</v>
      </c>
      <c r="D150" t="s">
        <v>258</v>
      </c>
      <c r="E150" t="s">
        <v>134</v>
      </c>
      <c r="F150" t="s">
        <v>349</v>
      </c>
      <c r="W150" s="54"/>
      <c r="X150" s="54"/>
      <c r="Y150" s="54"/>
      <c r="Z150" s="54"/>
      <c r="AA150" s="54"/>
    </row>
    <row r="151" spans="1:27">
      <c r="A151" s="54" t="s">
        <v>808</v>
      </c>
      <c r="B151" s="10" t="s">
        <v>539</v>
      </c>
      <c r="C151" t="s">
        <v>335</v>
      </c>
      <c r="D151" t="s">
        <v>258</v>
      </c>
      <c r="E151" t="s">
        <v>134</v>
      </c>
      <c r="F151" t="s">
        <v>348</v>
      </c>
      <c r="W151" s="54"/>
      <c r="X151" s="54"/>
      <c r="Y151" s="54"/>
      <c r="Z151" s="54"/>
      <c r="AA151" s="54"/>
    </row>
    <row r="152" spans="1:27">
      <c r="A152" s="54" t="s">
        <v>808</v>
      </c>
      <c r="B152" s="10" t="s">
        <v>538</v>
      </c>
      <c r="C152" t="s">
        <v>315</v>
      </c>
      <c r="D152" t="s">
        <v>258</v>
      </c>
      <c r="E152" t="s">
        <v>134</v>
      </c>
      <c r="F152" t="s">
        <v>347</v>
      </c>
    </row>
    <row r="153" spans="1:27">
      <c r="A153" s="54" t="s">
        <v>808</v>
      </c>
      <c r="B153" s="10" t="s">
        <v>334</v>
      </c>
      <c r="C153" t="s">
        <v>315</v>
      </c>
      <c r="D153" t="s">
        <v>258</v>
      </c>
      <c r="E153" t="s">
        <v>134</v>
      </c>
      <c r="F153" t="s">
        <v>346</v>
      </c>
    </row>
    <row r="154" spans="1:27">
      <c r="A154" s="54" t="s">
        <v>808</v>
      </c>
      <c r="B154" s="10" t="s">
        <v>333</v>
      </c>
      <c r="C154" t="s">
        <v>315</v>
      </c>
      <c r="D154" t="s">
        <v>258</v>
      </c>
      <c r="E154" t="s">
        <v>134</v>
      </c>
      <c r="F154" t="s">
        <v>345</v>
      </c>
    </row>
    <row r="155" spans="1:27">
      <c r="A155" s="54" t="s">
        <v>808</v>
      </c>
      <c r="B155" s="10" t="s">
        <v>332</v>
      </c>
      <c r="C155" t="s">
        <v>315</v>
      </c>
      <c r="D155" t="s">
        <v>258</v>
      </c>
      <c r="E155" t="s">
        <v>134</v>
      </c>
      <c r="F155" t="s">
        <v>344</v>
      </c>
    </row>
    <row r="156" spans="1:27">
      <c r="A156" s="74" t="s">
        <v>808</v>
      </c>
      <c r="B156" s="86" t="s">
        <v>475</v>
      </c>
      <c r="C156"/>
      <c r="D156"/>
      <c r="E156"/>
    </row>
    <row r="157" spans="1:27">
      <c r="A157" s="74" t="s">
        <v>808</v>
      </c>
      <c r="B157" s="86" t="s">
        <v>534</v>
      </c>
      <c r="C157"/>
      <c r="D157"/>
      <c r="E157"/>
    </row>
    <row r="158" spans="1:27">
      <c r="A158" s="54" t="s">
        <v>808</v>
      </c>
      <c r="B158" s="210" t="s">
        <v>537</v>
      </c>
      <c r="C158" s="210" t="s">
        <v>315</v>
      </c>
      <c r="D158" t="s">
        <v>134</v>
      </c>
      <c r="E158" t="s">
        <v>134</v>
      </c>
      <c r="F158" s="54" t="s">
        <v>811</v>
      </c>
    </row>
    <row r="159" spans="1:27">
      <c r="A159" s="54" t="s">
        <v>808</v>
      </c>
      <c r="B159" s="210" t="s">
        <v>536</v>
      </c>
      <c r="C159" s="210" t="s">
        <v>315</v>
      </c>
      <c r="D159" t="s">
        <v>134</v>
      </c>
      <c r="E159" t="s">
        <v>134</v>
      </c>
      <c r="F159" s="54" t="s">
        <v>812</v>
      </c>
    </row>
    <row r="160" spans="1:27">
      <c r="A160" s="54" t="s">
        <v>253</v>
      </c>
      <c r="B160" s="89" t="s">
        <v>282</v>
      </c>
      <c r="C160" t="s">
        <v>9</v>
      </c>
      <c r="D160" t="s">
        <v>269</v>
      </c>
      <c r="E160" t="s">
        <v>134</v>
      </c>
      <c r="F160" t="s">
        <v>280</v>
      </c>
    </row>
    <row r="161" spans="1:6">
      <c r="A161" s="54" t="s">
        <v>253</v>
      </c>
      <c r="B161" s="89" t="s">
        <v>281</v>
      </c>
      <c r="C161" t="s">
        <v>24</v>
      </c>
      <c r="D161" s="54" t="s">
        <v>269</v>
      </c>
      <c r="E161" t="s">
        <v>31</v>
      </c>
      <c r="F161" t="s">
        <v>280</v>
      </c>
    </row>
    <row r="162" spans="1:6">
      <c r="A162" s="54" t="s">
        <v>253</v>
      </c>
      <c r="B162" s="89" t="s">
        <v>279</v>
      </c>
      <c r="C162" s="54" t="s">
        <v>24</v>
      </c>
      <c r="D162" s="54" t="s">
        <v>269</v>
      </c>
      <c r="E162" s="54" t="s">
        <v>32</v>
      </c>
      <c r="F162" s="54" t="s">
        <v>512</v>
      </c>
    </row>
    <row r="163" spans="1:6">
      <c r="A163" s="54" t="s">
        <v>253</v>
      </c>
      <c r="B163" s="89" t="s">
        <v>278</v>
      </c>
      <c r="C163" s="54" t="s">
        <v>24</v>
      </c>
      <c r="D163" s="54" t="s">
        <v>269</v>
      </c>
      <c r="E163" s="54" t="s">
        <v>529</v>
      </c>
      <c r="F163" s="54" t="s">
        <v>775</v>
      </c>
    </row>
    <row r="164" spans="1:6">
      <c r="A164" s="54" t="s">
        <v>253</v>
      </c>
      <c r="B164" s="89" t="s">
        <v>277</v>
      </c>
      <c r="C164" s="54" t="s">
        <v>24</v>
      </c>
      <c r="D164" s="54" t="s">
        <v>269</v>
      </c>
      <c r="E164" s="54" t="s">
        <v>529</v>
      </c>
      <c r="F164" s="54" t="s">
        <v>776</v>
      </c>
    </row>
    <row r="165" spans="1:6">
      <c r="A165" s="54" t="s">
        <v>253</v>
      </c>
      <c r="B165" s="89" t="s">
        <v>276</v>
      </c>
      <c r="C165" s="54" t="s">
        <v>24</v>
      </c>
      <c r="D165" s="54" t="s">
        <v>269</v>
      </c>
      <c r="E165" s="54" t="s">
        <v>529</v>
      </c>
      <c r="F165" s="54" t="s">
        <v>777</v>
      </c>
    </row>
    <row r="166" spans="1:6">
      <c r="A166" s="54" t="s">
        <v>253</v>
      </c>
      <c r="B166" s="89" t="s">
        <v>275</v>
      </c>
      <c r="C166" s="54" t="s">
        <v>24</v>
      </c>
      <c r="D166" s="54" t="s">
        <v>269</v>
      </c>
      <c r="E166" s="76" t="s">
        <v>134</v>
      </c>
      <c r="F166" s="54" t="s">
        <v>778</v>
      </c>
    </row>
    <row r="167" spans="1:6">
      <c r="A167" s="54" t="s">
        <v>253</v>
      </c>
      <c r="B167" s="89" t="s">
        <v>274</v>
      </c>
      <c r="C167" s="54" t="s">
        <v>24</v>
      </c>
      <c r="D167" s="54" t="s">
        <v>269</v>
      </c>
      <c r="E167" s="54" t="s">
        <v>529</v>
      </c>
      <c r="F167" s="54" t="s">
        <v>779</v>
      </c>
    </row>
    <row r="168" spans="1:6">
      <c r="A168" s="54" t="s">
        <v>253</v>
      </c>
      <c r="B168" s="89" t="s">
        <v>273</v>
      </c>
      <c r="C168" s="54" t="s">
        <v>24</v>
      </c>
      <c r="D168" s="54" t="s">
        <v>269</v>
      </c>
      <c r="E168" s="76" t="s">
        <v>134</v>
      </c>
      <c r="F168" s="54" t="s">
        <v>780</v>
      </c>
    </row>
    <row r="169" spans="1:6">
      <c r="A169" s="54" t="s">
        <v>253</v>
      </c>
      <c r="B169" s="89" t="s">
        <v>272</v>
      </c>
      <c r="C169" s="54" t="s">
        <v>24</v>
      </c>
      <c r="D169" s="54" t="s">
        <v>269</v>
      </c>
      <c r="E169" s="54" t="s">
        <v>529</v>
      </c>
      <c r="F169" s="54" t="s">
        <v>781</v>
      </c>
    </row>
    <row r="170" spans="1:6">
      <c r="A170" s="54" t="s">
        <v>253</v>
      </c>
      <c r="B170" s="89" t="s">
        <v>271</v>
      </c>
      <c r="C170" s="54" t="s">
        <v>24</v>
      </c>
      <c r="D170" s="54" t="s">
        <v>269</v>
      </c>
      <c r="E170" s="76" t="s">
        <v>134</v>
      </c>
      <c r="F170" s="54" t="s">
        <v>782</v>
      </c>
    </row>
    <row r="171" spans="1:6">
      <c r="A171" s="54" t="s">
        <v>253</v>
      </c>
      <c r="B171" s="89" t="s">
        <v>270</v>
      </c>
      <c r="C171" s="54" t="s">
        <v>24</v>
      </c>
      <c r="D171" s="54" t="s">
        <v>269</v>
      </c>
      <c r="E171" s="54" t="s">
        <v>529</v>
      </c>
      <c r="F171" s="54" t="s">
        <v>783</v>
      </c>
    </row>
    <row r="172" spans="1:6">
      <c r="A172" s="54" t="s">
        <v>253</v>
      </c>
      <c r="B172" s="89" t="s">
        <v>268</v>
      </c>
      <c r="C172" s="54" t="s">
        <v>24</v>
      </c>
      <c r="D172" s="54" t="s">
        <v>269</v>
      </c>
      <c r="E172" s="76" t="s">
        <v>134</v>
      </c>
      <c r="F172" s="54" t="s">
        <v>784</v>
      </c>
    </row>
    <row r="173" spans="1:6">
      <c r="A173" s="54" t="s">
        <v>253</v>
      </c>
      <c r="B173" s="89" t="s">
        <v>266</v>
      </c>
      <c r="C173" s="54" t="s">
        <v>24</v>
      </c>
      <c r="D173" s="54" t="s">
        <v>269</v>
      </c>
      <c r="E173" s="54" t="s">
        <v>529</v>
      </c>
      <c r="F173" s="54" t="s">
        <v>785</v>
      </c>
    </row>
    <row r="174" spans="1:6">
      <c r="A174" s="54" t="s">
        <v>253</v>
      </c>
      <c r="B174" s="89" t="s">
        <v>264</v>
      </c>
      <c r="C174" s="54" t="s">
        <v>24</v>
      </c>
      <c r="D174" s="54" t="s">
        <v>269</v>
      </c>
      <c r="E174" s="76" t="s">
        <v>134</v>
      </c>
      <c r="F174" s="54" t="s">
        <v>786</v>
      </c>
    </row>
    <row r="175" spans="1:6">
      <c r="A175" s="54" t="s">
        <v>253</v>
      </c>
      <c r="B175" s="89" t="s">
        <v>262</v>
      </c>
      <c r="C175" s="54" t="s">
        <v>24</v>
      </c>
      <c r="D175" s="54" t="s">
        <v>269</v>
      </c>
      <c r="E175" s="54" t="s">
        <v>529</v>
      </c>
      <c r="F175" s="54" t="s">
        <v>787</v>
      </c>
    </row>
    <row r="176" spans="1:6">
      <c r="A176" s="54" t="s">
        <v>253</v>
      </c>
      <c r="B176" s="89" t="s">
        <v>261</v>
      </c>
      <c r="C176" s="54" t="s">
        <v>24</v>
      </c>
      <c r="D176" s="54" t="s">
        <v>269</v>
      </c>
      <c r="E176" s="76" t="s">
        <v>134</v>
      </c>
      <c r="F176" s="54" t="s">
        <v>788</v>
      </c>
    </row>
    <row r="177" spans="1:6">
      <c r="A177" s="54" t="s">
        <v>253</v>
      </c>
      <c r="B177" s="89" t="s">
        <v>260</v>
      </c>
      <c r="C177" s="54" t="s">
        <v>24</v>
      </c>
      <c r="D177" s="54" t="s">
        <v>269</v>
      </c>
      <c r="E177" s="54" t="s">
        <v>529</v>
      </c>
      <c r="F177" s="54" t="s">
        <v>513</v>
      </c>
    </row>
    <row r="178" spans="1:6">
      <c r="A178" s="54" t="s">
        <v>253</v>
      </c>
      <c r="B178" s="89" t="s">
        <v>259</v>
      </c>
      <c r="C178" s="10" t="s">
        <v>21</v>
      </c>
      <c r="D178" s="10" t="s">
        <v>269</v>
      </c>
      <c r="E178" s="10" t="s">
        <v>529</v>
      </c>
      <c r="F178" t="s">
        <v>414</v>
      </c>
    </row>
    <row r="179" spans="1:6">
      <c r="A179" s="54" t="s">
        <v>253</v>
      </c>
      <c r="B179" s="89" t="s">
        <v>257</v>
      </c>
      <c r="C179" s="10" t="s">
        <v>21</v>
      </c>
      <c r="D179" s="10" t="s">
        <v>269</v>
      </c>
      <c r="E179" s="10" t="s">
        <v>134</v>
      </c>
      <c r="F179" t="s">
        <v>415</v>
      </c>
    </row>
    <row r="180" spans="1:6">
      <c r="A180" s="54" t="s">
        <v>253</v>
      </c>
      <c r="B180" s="89" t="s">
        <v>256</v>
      </c>
      <c r="C180" s="10" t="s">
        <v>21</v>
      </c>
      <c r="D180" s="10" t="s">
        <v>269</v>
      </c>
      <c r="E180" s="10" t="s">
        <v>134</v>
      </c>
      <c r="F180" t="s">
        <v>416</v>
      </c>
    </row>
    <row r="181" spans="1:6">
      <c r="A181" s="54" t="s">
        <v>253</v>
      </c>
      <c r="B181" s="89" t="s">
        <v>255</v>
      </c>
      <c r="C181" s="10" t="s">
        <v>21</v>
      </c>
      <c r="D181" s="10" t="s">
        <v>269</v>
      </c>
      <c r="E181" s="10" t="s">
        <v>529</v>
      </c>
      <c r="F181" t="s">
        <v>417</v>
      </c>
    </row>
    <row r="182" spans="1:6">
      <c r="A182" s="54" t="s">
        <v>253</v>
      </c>
      <c r="B182" s="89" t="s">
        <v>254</v>
      </c>
      <c r="C182" s="10" t="s">
        <v>21</v>
      </c>
      <c r="D182" s="10" t="s">
        <v>269</v>
      </c>
      <c r="E182" s="10" t="s">
        <v>134</v>
      </c>
      <c r="F182" t="s">
        <v>418</v>
      </c>
    </row>
    <row r="183" spans="1:6">
      <c r="A183" s="54" t="s">
        <v>253</v>
      </c>
      <c r="B183" s="89" t="s">
        <v>252</v>
      </c>
      <c r="C183" s="10" t="s">
        <v>21</v>
      </c>
      <c r="D183" s="10" t="s">
        <v>269</v>
      </c>
      <c r="E183" s="10" t="s">
        <v>134</v>
      </c>
      <c r="F183" t="s">
        <v>419</v>
      </c>
    </row>
    <row r="184" spans="1:6">
      <c r="A184" s="54" t="s">
        <v>228</v>
      </c>
      <c r="B184" s="89" t="s">
        <v>251</v>
      </c>
      <c r="C184" s="10" t="s">
        <v>21</v>
      </c>
      <c r="D184" s="10" t="s">
        <v>269</v>
      </c>
      <c r="E184" s="10" t="s">
        <v>33</v>
      </c>
      <c r="F184" t="s">
        <v>420</v>
      </c>
    </row>
    <row r="185" spans="1:6">
      <c r="A185" s="54" t="s">
        <v>228</v>
      </c>
      <c r="B185" s="89" t="s">
        <v>250</v>
      </c>
      <c r="C185" s="10" t="s">
        <v>21</v>
      </c>
      <c r="D185" s="10" t="s">
        <v>269</v>
      </c>
      <c r="E185" s="10" t="s">
        <v>134</v>
      </c>
      <c r="F185" t="s">
        <v>421</v>
      </c>
    </row>
    <row r="186" spans="1:6">
      <c r="A186" s="54" t="s">
        <v>228</v>
      </c>
      <c r="B186" s="89" t="s">
        <v>249</v>
      </c>
      <c r="C186" s="10" t="s">
        <v>21</v>
      </c>
      <c r="D186" s="10" t="s">
        <v>269</v>
      </c>
      <c r="E186" s="10" t="s">
        <v>134</v>
      </c>
      <c r="F186" t="s">
        <v>422</v>
      </c>
    </row>
    <row r="187" spans="1:6">
      <c r="A187" s="54" t="s">
        <v>228</v>
      </c>
      <c r="B187" s="89" t="s">
        <v>248</v>
      </c>
      <c r="C187" s="10" t="s">
        <v>21</v>
      </c>
      <c r="D187" s="10" t="s">
        <v>269</v>
      </c>
      <c r="E187" s="10" t="s">
        <v>529</v>
      </c>
      <c r="F187" t="s">
        <v>424</v>
      </c>
    </row>
    <row r="188" spans="1:6">
      <c r="A188" s="54" t="s">
        <v>228</v>
      </c>
      <c r="B188" s="89" t="s">
        <v>247</v>
      </c>
      <c r="C188" s="10" t="s">
        <v>21</v>
      </c>
      <c r="D188" s="10" t="s">
        <v>269</v>
      </c>
      <c r="E188" s="10" t="s">
        <v>134</v>
      </c>
      <c r="F188" t="s">
        <v>425</v>
      </c>
    </row>
    <row r="189" spans="1:6">
      <c r="A189" s="54" t="s">
        <v>228</v>
      </c>
      <c r="B189" s="89" t="s">
        <v>246</v>
      </c>
      <c r="C189" s="10" t="s">
        <v>21</v>
      </c>
      <c r="D189" s="10" t="s">
        <v>269</v>
      </c>
      <c r="E189" s="10" t="s">
        <v>134</v>
      </c>
      <c r="F189" t="s">
        <v>426</v>
      </c>
    </row>
    <row r="190" spans="1:6">
      <c r="A190" s="54" t="s">
        <v>228</v>
      </c>
      <c r="B190" s="89" t="s">
        <v>245</v>
      </c>
      <c r="C190" t="s">
        <v>14</v>
      </c>
      <c r="D190" t="s">
        <v>269</v>
      </c>
      <c r="E190" t="s">
        <v>529</v>
      </c>
      <c r="F190" t="s">
        <v>316</v>
      </c>
    </row>
    <row r="191" spans="1:6">
      <c r="A191" s="54" t="s">
        <v>228</v>
      </c>
      <c r="B191" s="89" t="s">
        <v>244</v>
      </c>
      <c r="C191" t="s">
        <v>14</v>
      </c>
      <c r="D191" t="s">
        <v>269</v>
      </c>
      <c r="E191" t="s">
        <v>134</v>
      </c>
      <c r="F191" t="s">
        <v>317</v>
      </c>
    </row>
    <row r="192" spans="1:6">
      <c r="A192" s="54" t="s">
        <v>228</v>
      </c>
      <c r="B192" s="89" t="s">
        <v>243</v>
      </c>
      <c r="C192" t="s">
        <v>14</v>
      </c>
      <c r="D192" t="s">
        <v>269</v>
      </c>
      <c r="E192" t="s">
        <v>134</v>
      </c>
      <c r="F192" t="s">
        <v>318</v>
      </c>
    </row>
    <row r="193" spans="1:6">
      <c r="A193" s="54" t="s">
        <v>228</v>
      </c>
      <c r="B193" s="89" t="s">
        <v>242</v>
      </c>
      <c r="C193" s="87" t="s">
        <v>14</v>
      </c>
      <c r="D193" s="87" t="s">
        <v>269</v>
      </c>
      <c r="E193" s="87" t="s">
        <v>529</v>
      </c>
      <c r="F193" s="87" t="s">
        <v>572</v>
      </c>
    </row>
    <row r="194" spans="1:6">
      <c r="A194" s="54" t="s">
        <v>228</v>
      </c>
      <c r="B194" s="89" t="s">
        <v>241</v>
      </c>
      <c r="C194" s="87" t="s">
        <v>14</v>
      </c>
      <c r="D194" s="87" t="s">
        <v>269</v>
      </c>
      <c r="E194" s="87" t="s">
        <v>134</v>
      </c>
      <c r="F194" s="87" t="s">
        <v>573</v>
      </c>
    </row>
    <row r="195" spans="1:6">
      <c r="A195" s="54" t="s">
        <v>228</v>
      </c>
      <c r="B195" s="89" t="s">
        <v>240</v>
      </c>
      <c r="C195" s="87" t="s">
        <v>14</v>
      </c>
      <c r="D195" s="87" t="s">
        <v>269</v>
      </c>
      <c r="E195" s="87" t="s">
        <v>134</v>
      </c>
      <c r="F195" s="87" t="s">
        <v>574</v>
      </c>
    </row>
    <row r="196" spans="1:6">
      <c r="A196" s="54" t="s">
        <v>228</v>
      </c>
      <c r="B196" s="89" t="s">
        <v>239</v>
      </c>
      <c r="C196" s="54" t="s">
        <v>14</v>
      </c>
      <c r="D196" s="54" t="s">
        <v>269</v>
      </c>
      <c r="E196" s="54" t="s">
        <v>529</v>
      </c>
      <c r="F196" s="54" t="s">
        <v>319</v>
      </c>
    </row>
    <row r="197" spans="1:6">
      <c r="A197" s="54" t="s">
        <v>228</v>
      </c>
      <c r="B197" s="89" t="s">
        <v>238</v>
      </c>
      <c r="C197" s="54" t="s">
        <v>14</v>
      </c>
      <c r="D197" s="54" t="s">
        <v>269</v>
      </c>
      <c r="E197" s="54" t="s">
        <v>134</v>
      </c>
      <c r="F197" s="54" t="s">
        <v>320</v>
      </c>
    </row>
    <row r="198" spans="1:6">
      <c r="A198" s="54" t="s">
        <v>228</v>
      </c>
      <c r="B198" s="89" t="s">
        <v>237</v>
      </c>
      <c r="C198" s="54" t="s">
        <v>14</v>
      </c>
      <c r="D198" s="54" t="s">
        <v>269</v>
      </c>
      <c r="E198" s="54" t="s">
        <v>134</v>
      </c>
      <c r="F198" s="54" t="s">
        <v>321</v>
      </c>
    </row>
    <row r="199" spans="1:6">
      <c r="A199" s="54" t="s">
        <v>228</v>
      </c>
      <c r="B199" s="89" t="s">
        <v>236</v>
      </c>
      <c r="C199" s="54" t="s">
        <v>22</v>
      </c>
      <c r="D199" s="54" t="s">
        <v>269</v>
      </c>
      <c r="E199" s="54" t="s">
        <v>529</v>
      </c>
      <c r="F199" s="54" t="s">
        <v>364</v>
      </c>
    </row>
    <row r="200" spans="1:6">
      <c r="A200" s="54" t="s">
        <v>228</v>
      </c>
      <c r="B200" s="89" t="s">
        <v>235</v>
      </c>
      <c r="C200" s="54" t="s">
        <v>22</v>
      </c>
      <c r="D200" s="54" t="s">
        <v>269</v>
      </c>
      <c r="E200" s="54" t="s">
        <v>134</v>
      </c>
      <c r="F200" s="54" t="s">
        <v>365</v>
      </c>
    </row>
    <row r="201" spans="1:6">
      <c r="A201" s="54" t="s">
        <v>228</v>
      </c>
      <c r="B201" s="89" t="s">
        <v>234</v>
      </c>
      <c r="C201" s="54" t="s">
        <v>22</v>
      </c>
      <c r="D201" s="54" t="s">
        <v>269</v>
      </c>
      <c r="E201" s="54" t="s">
        <v>134</v>
      </c>
      <c r="F201" s="54" t="s">
        <v>366</v>
      </c>
    </row>
    <row r="202" spans="1:6">
      <c r="A202" s="54" t="s">
        <v>228</v>
      </c>
      <c r="B202" s="89" t="s">
        <v>233</v>
      </c>
      <c r="C202" s="54" t="s">
        <v>22</v>
      </c>
      <c r="D202" s="54" t="s">
        <v>269</v>
      </c>
      <c r="E202" s="54" t="s">
        <v>529</v>
      </c>
      <c r="F202" s="54" t="s">
        <v>367</v>
      </c>
    </row>
    <row r="203" spans="1:6">
      <c r="A203" s="54" t="s">
        <v>228</v>
      </c>
      <c r="B203" s="89" t="s">
        <v>232</v>
      </c>
      <c r="C203" s="54" t="s">
        <v>22</v>
      </c>
      <c r="D203" s="54" t="s">
        <v>269</v>
      </c>
      <c r="E203" s="54" t="s">
        <v>134</v>
      </c>
      <c r="F203" s="54" t="s">
        <v>368</v>
      </c>
    </row>
    <row r="204" spans="1:6">
      <c r="A204" s="54" t="s">
        <v>228</v>
      </c>
      <c r="B204" s="89" t="s">
        <v>231</v>
      </c>
      <c r="C204" s="54" t="s">
        <v>22</v>
      </c>
      <c r="D204" s="54" t="s">
        <v>269</v>
      </c>
      <c r="E204" s="54" t="s">
        <v>134</v>
      </c>
      <c r="F204" s="54" t="s">
        <v>369</v>
      </c>
    </row>
    <row r="205" spans="1:6">
      <c r="A205" s="54" t="s">
        <v>228</v>
      </c>
      <c r="B205" s="89" t="s">
        <v>230</v>
      </c>
      <c r="C205" s="54" t="s">
        <v>22</v>
      </c>
      <c r="D205" s="54" t="s">
        <v>269</v>
      </c>
      <c r="E205" s="54" t="s">
        <v>529</v>
      </c>
      <c r="F205" s="54" t="s">
        <v>406</v>
      </c>
    </row>
    <row r="206" spans="1:6">
      <c r="A206" s="54" t="s">
        <v>228</v>
      </c>
      <c r="B206" s="89" t="s">
        <v>229</v>
      </c>
      <c r="C206" s="54" t="s">
        <v>22</v>
      </c>
      <c r="D206" s="54" t="s">
        <v>269</v>
      </c>
      <c r="E206" s="54" t="s">
        <v>134</v>
      </c>
      <c r="F206" s="54" t="s">
        <v>407</v>
      </c>
    </row>
    <row r="207" spans="1:6">
      <c r="A207" s="54" t="s">
        <v>228</v>
      </c>
      <c r="B207" s="89" t="s">
        <v>227</v>
      </c>
      <c r="C207" s="54" t="s">
        <v>22</v>
      </c>
      <c r="D207" s="54" t="s">
        <v>269</v>
      </c>
      <c r="E207" s="54" t="s">
        <v>134</v>
      </c>
      <c r="F207" s="54" t="s">
        <v>408</v>
      </c>
    </row>
    <row r="208" spans="1:6">
      <c r="A208" s="54" t="s">
        <v>440</v>
      </c>
      <c r="B208" s="89" t="s">
        <v>441</v>
      </c>
      <c r="C208" t="s">
        <v>26</v>
      </c>
      <c r="D208" t="s">
        <v>269</v>
      </c>
      <c r="E208" t="s">
        <v>134</v>
      </c>
      <c r="F208" t="s">
        <v>434</v>
      </c>
    </row>
    <row r="209" spans="1:6">
      <c r="A209" s="54" t="s">
        <v>440</v>
      </c>
      <c r="B209" s="89" t="s">
        <v>442</v>
      </c>
      <c r="C209" t="s">
        <v>26</v>
      </c>
      <c r="D209" t="s">
        <v>269</v>
      </c>
      <c r="E209" t="s">
        <v>134</v>
      </c>
      <c r="F209" t="s">
        <v>435</v>
      </c>
    </row>
    <row r="210" spans="1:6">
      <c r="A210" s="54" t="s">
        <v>440</v>
      </c>
      <c r="B210" s="89" t="s">
        <v>459</v>
      </c>
      <c r="C210" t="s">
        <v>26</v>
      </c>
      <c r="D210" t="s">
        <v>269</v>
      </c>
      <c r="E210" t="s">
        <v>134</v>
      </c>
      <c r="F210" t="s">
        <v>436</v>
      </c>
    </row>
    <row r="211" spans="1:6">
      <c r="A211" s="54" t="s">
        <v>440</v>
      </c>
      <c r="B211" s="89" t="s">
        <v>443</v>
      </c>
      <c r="C211" t="s">
        <v>26</v>
      </c>
      <c r="D211" t="s">
        <v>269</v>
      </c>
      <c r="E211" t="s">
        <v>134</v>
      </c>
      <c r="F211" t="s">
        <v>437</v>
      </c>
    </row>
    <row r="212" spans="1:6">
      <c r="A212" s="54" t="s">
        <v>440</v>
      </c>
      <c r="B212" s="89" t="s">
        <v>444</v>
      </c>
      <c r="C212" t="s">
        <v>26</v>
      </c>
      <c r="D212" t="s">
        <v>269</v>
      </c>
      <c r="E212" t="s">
        <v>134</v>
      </c>
      <c r="F212" t="s">
        <v>438</v>
      </c>
    </row>
    <row r="213" spans="1:6">
      <c r="A213" s="54" t="s">
        <v>440</v>
      </c>
      <c r="B213" s="89" t="s">
        <v>445</v>
      </c>
      <c r="C213" t="s">
        <v>26</v>
      </c>
      <c r="D213" t="s">
        <v>269</v>
      </c>
      <c r="E213" t="s">
        <v>134</v>
      </c>
      <c r="F213" t="s">
        <v>439</v>
      </c>
    </row>
    <row r="214" spans="1:6">
      <c r="A214" s="54" t="s">
        <v>440</v>
      </c>
      <c r="B214" s="89" t="s">
        <v>446</v>
      </c>
      <c r="C214" t="s">
        <v>23</v>
      </c>
      <c r="D214" t="s">
        <v>269</v>
      </c>
      <c r="E214" t="s">
        <v>29</v>
      </c>
      <c r="F214" t="s">
        <v>267</v>
      </c>
    </row>
    <row r="215" spans="1:6">
      <c r="A215" s="54" t="s">
        <v>440</v>
      </c>
      <c r="B215" s="89" t="s">
        <v>447</v>
      </c>
      <c r="C215" t="s">
        <v>23</v>
      </c>
      <c r="D215" t="s">
        <v>269</v>
      </c>
      <c r="E215" t="s">
        <v>29</v>
      </c>
      <c r="F215" t="s">
        <v>265</v>
      </c>
    </row>
    <row r="216" spans="1:6">
      <c r="A216" s="54" t="s">
        <v>440</v>
      </c>
      <c r="B216" s="89" t="s">
        <v>448</v>
      </c>
      <c r="C216" t="s">
        <v>23</v>
      </c>
      <c r="D216" t="s">
        <v>269</v>
      </c>
      <c r="E216" t="s">
        <v>29</v>
      </c>
      <c r="F216" t="s">
        <v>263</v>
      </c>
    </row>
    <row r="217" spans="1:6">
      <c r="A217" s="54" t="s">
        <v>440</v>
      </c>
      <c r="B217" s="89" t="s">
        <v>449</v>
      </c>
      <c r="C217" t="s">
        <v>23</v>
      </c>
      <c r="D217" t="s">
        <v>269</v>
      </c>
      <c r="E217" s="10" t="s">
        <v>134</v>
      </c>
      <c r="F217" t="s">
        <v>514</v>
      </c>
    </row>
    <row r="218" spans="1:6">
      <c r="A218" s="54" t="s">
        <v>440</v>
      </c>
      <c r="B218" s="89" t="s">
        <v>450</v>
      </c>
      <c r="C218" t="s">
        <v>23</v>
      </c>
      <c r="D218" t="s">
        <v>269</v>
      </c>
      <c r="E218" s="10" t="s">
        <v>134</v>
      </c>
      <c r="F218" t="s">
        <v>515</v>
      </c>
    </row>
    <row r="219" spans="1:6">
      <c r="A219" s="54" t="s">
        <v>440</v>
      </c>
      <c r="B219" s="89" t="s">
        <v>451</v>
      </c>
      <c r="C219" t="s">
        <v>25</v>
      </c>
      <c r="D219" t="s">
        <v>269</v>
      </c>
      <c r="E219" t="s">
        <v>32</v>
      </c>
      <c r="F219" t="s">
        <v>503</v>
      </c>
    </row>
    <row r="220" spans="1:6">
      <c r="A220" s="54" t="s">
        <v>440</v>
      </c>
      <c r="B220" s="89" t="s">
        <v>460</v>
      </c>
      <c r="C220" t="s">
        <v>25</v>
      </c>
      <c r="D220" t="s">
        <v>269</v>
      </c>
      <c r="E220" t="s">
        <v>32</v>
      </c>
      <c r="F220" t="s">
        <v>504</v>
      </c>
    </row>
    <row r="221" spans="1:6">
      <c r="A221" s="54" t="s">
        <v>440</v>
      </c>
      <c r="B221" s="89" t="s">
        <v>452</v>
      </c>
      <c r="C221" t="s">
        <v>25</v>
      </c>
      <c r="D221" t="s">
        <v>269</v>
      </c>
      <c r="E221" t="s">
        <v>32</v>
      </c>
      <c r="F221" t="s">
        <v>505</v>
      </c>
    </row>
    <row r="222" spans="1:6">
      <c r="A222" s="54" t="s">
        <v>440</v>
      </c>
      <c r="B222" s="89" t="s">
        <v>453</v>
      </c>
      <c r="C222" t="s">
        <v>25</v>
      </c>
      <c r="D222" t="s">
        <v>269</v>
      </c>
      <c r="E222" t="s">
        <v>32</v>
      </c>
      <c r="F222" t="s">
        <v>506</v>
      </c>
    </row>
    <row r="223" spans="1:6">
      <c r="A223" s="54" t="s">
        <v>440</v>
      </c>
      <c r="B223" s="89" t="s">
        <v>454</v>
      </c>
      <c r="C223" t="s">
        <v>22</v>
      </c>
      <c r="D223" t="s">
        <v>269</v>
      </c>
      <c r="E223" t="s">
        <v>28</v>
      </c>
      <c r="F223" t="s">
        <v>502</v>
      </c>
    </row>
    <row r="224" spans="1:6">
      <c r="A224" s="54" t="s">
        <v>440</v>
      </c>
      <c r="B224" s="89" t="s">
        <v>455</v>
      </c>
      <c r="C224" s="76" t="s">
        <v>21</v>
      </c>
      <c r="D224" s="76" t="s">
        <v>269</v>
      </c>
      <c r="E224" s="76" t="s">
        <v>529</v>
      </c>
      <c r="F224" s="54" t="s">
        <v>423</v>
      </c>
    </row>
    <row r="225" spans="1:6">
      <c r="A225" s="54" t="s">
        <v>440</v>
      </c>
      <c r="B225" s="89" t="s">
        <v>456</v>
      </c>
      <c r="C225" s="76" t="s">
        <v>21</v>
      </c>
      <c r="D225" s="76" t="s">
        <v>269</v>
      </c>
      <c r="E225" s="76" t="s">
        <v>134</v>
      </c>
      <c r="F225" s="54" t="s">
        <v>427</v>
      </c>
    </row>
    <row r="226" spans="1:6">
      <c r="A226" s="54" t="s">
        <v>440</v>
      </c>
      <c r="B226" s="89" t="s">
        <v>457</v>
      </c>
      <c r="C226" s="76" t="s">
        <v>21</v>
      </c>
      <c r="D226" s="76" t="s">
        <v>269</v>
      </c>
      <c r="E226" s="76" t="s">
        <v>134</v>
      </c>
      <c r="F226" s="54" t="s">
        <v>428</v>
      </c>
    </row>
    <row r="227" spans="1:6">
      <c r="A227" s="74" t="s">
        <v>440</v>
      </c>
      <c r="B227" s="74" t="s">
        <v>458</v>
      </c>
      <c r="C227"/>
      <c r="D227"/>
      <c r="E227"/>
    </row>
    <row r="228" spans="1:6">
      <c r="A228" s="74" t="s">
        <v>440</v>
      </c>
      <c r="B228" s="74" t="s">
        <v>461</v>
      </c>
      <c r="C228"/>
      <c r="D228"/>
      <c r="E228"/>
    </row>
    <row r="229" spans="1:6">
      <c r="A229" s="74" t="s">
        <v>440</v>
      </c>
      <c r="B229" s="74" t="s">
        <v>462</v>
      </c>
      <c r="C229"/>
      <c r="D229"/>
      <c r="E229"/>
    </row>
    <row r="230" spans="1:6">
      <c r="A230" s="74" t="s">
        <v>440</v>
      </c>
      <c r="B230" s="74" t="s">
        <v>463</v>
      </c>
      <c r="C230"/>
      <c r="D230"/>
      <c r="E230"/>
    </row>
    <row r="231" spans="1:6">
      <c r="A231" s="74" t="s">
        <v>440</v>
      </c>
      <c r="B231" s="74" t="s">
        <v>464</v>
      </c>
      <c r="C231"/>
      <c r="D231"/>
      <c r="E231"/>
    </row>
    <row r="232" spans="1:6">
      <c r="A232" s="54" t="s">
        <v>501</v>
      </c>
      <c r="B232" s="89" t="s">
        <v>477</v>
      </c>
      <c r="C232" t="s">
        <v>507</v>
      </c>
      <c r="D232" t="s">
        <v>269</v>
      </c>
      <c r="E232" t="s">
        <v>529</v>
      </c>
      <c r="F232" t="s">
        <v>517</v>
      </c>
    </row>
    <row r="233" spans="1:6">
      <c r="A233" s="54" t="s">
        <v>501</v>
      </c>
      <c r="B233" s="89" t="s">
        <v>478</v>
      </c>
      <c r="C233" t="s">
        <v>507</v>
      </c>
      <c r="D233" t="s">
        <v>269</v>
      </c>
      <c r="E233" t="s">
        <v>134</v>
      </c>
      <c r="F233" t="s">
        <v>518</v>
      </c>
    </row>
    <row r="234" spans="1:6">
      <c r="A234" s="54" t="s">
        <v>501</v>
      </c>
      <c r="B234" s="89" t="s">
        <v>479</v>
      </c>
      <c r="C234" t="s">
        <v>507</v>
      </c>
      <c r="D234" t="s">
        <v>269</v>
      </c>
      <c r="E234" t="s">
        <v>134</v>
      </c>
      <c r="F234" t="s">
        <v>519</v>
      </c>
    </row>
    <row r="235" spans="1:6">
      <c r="A235" s="54" t="s">
        <v>501</v>
      </c>
      <c r="B235" s="89" t="s">
        <v>480</v>
      </c>
      <c r="C235" t="s">
        <v>507</v>
      </c>
      <c r="D235" t="s">
        <v>269</v>
      </c>
      <c r="E235" t="s">
        <v>529</v>
      </c>
      <c r="F235" t="s">
        <v>520</v>
      </c>
    </row>
    <row r="236" spans="1:6">
      <c r="A236" s="54" t="s">
        <v>501</v>
      </c>
      <c r="B236" s="89" t="s">
        <v>481</v>
      </c>
      <c r="C236" t="s">
        <v>507</v>
      </c>
      <c r="D236" t="s">
        <v>269</v>
      </c>
      <c r="E236" t="s">
        <v>134</v>
      </c>
      <c r="F236" t="s">
        <v>521</v>
      </c>
    </row>
    <row r="237" spans="1:6">
      <c r="A237" s="54" t="s">
        <v>501</v>
      </c>
      <c r="B237" s="89" t="s">
        <v>482</v>
      </c>
      <c r="C237" t="s">
        <v>507</v>
      </c>
      <c r="D237" t="s">
        <v>269</v>
      </c>
      <c r="E237" t="s">
        <v>134</v>
      </c>
      <c r="F237" t="s">
        <v>522</v>
      </c>
    </row>
    <row r="238" spans="1:6">
      <c r="A238" s="54" t="s">
        <v>501</v>
      </c>
      <c r="B238" s="89" t="s">
        <v>483</v>
      </c>
      <c r="C238" t="s">
        <v>507</v>
      </c>
      <c r="D238" t="s">
        <v>269</v>
      </c>
      <c r="E238" t="s">
        <v>529</v>
      </c>
      <c r="F238" t="s">
        <v>523</v>
      </c>
    </row>
    <row r="239" spans="1:6">
      <c r="A239" s="54" t="s">
        <v>501</v>
      </c>
      <c r="B239" s="89" t="s">
        <v>484</v>
      </c>
      <c r="C239" t="s">
        <v>507</v>
      </c>
      <c r="D239" t="s">
        <v>269</v>
      </c>
      <c r="E239" t="s">
        <v>134</v>
      </c>
      <c r="F239" t="s">
        <v>524</v>
      </c>
    </row>
    <row r="240" spans="1:6">
      <c r="A240" s="54" t="s">
        <v>501</v>
      </c>
      <c r="B240" s="89" t="s">
        <v>485</v>
      </c>
      <c r="C240" t="s">
        <v>507</v>
      </c>
      <c r="D240" t="s">
        <v>269</v>
      </c>
      <c r="E240" t="s">
        <v>134</v>
      </c>
      <c r="F240" t="s">
        <v>525</v>
      </c>
    </row>
    <row r="241" spans="1:6">
      <c r="A241" s="54" t="s">
        <v>501</v>
      </c>
      <c r="B241" s="89" t="s">
        <v>486</v>
      </c>
      <c r="C241" t="s">
        <v>507</v>
      </c>
      <c r="D241" t="s">
        <v>269</v>
      </c>
      <c r="E241" t="s">
        <v>529</v>
      </c>
      <c r="F241" t="s">
        <v>526</v>
      </c>
    </row>
    <row r="242" spans="1:6">
      <c r="A242" s="54" t="s">
        <v>501</v>
      </c>
      <c r="B242" s="89" t="s">
        <v>487</v>
      </c>
      <c r="C242" t="s">
        <v>507</v>
      </c>
      <c r="D242" t="s">
        <v>269</v>
      </c>
      <c r="E242" t="s">
        <v>134</v>
      </c>
      <c r="F242" t="s">
        <v>527</v>
      </c>
    </row>
    <row r="243" spans="1:6">
      <c r="A243" s="54" t="s">
        <v>501</v>
      </c>
      <c r="B243" s="89" t="s">
        <v>488</v>
      </c>
      <c r="C243" t="s">
        <v>507</v>
      </c>
      <c r="D243" t="s">
        <v>269</v>
      </c>
      <c r="E243" t="s">
        <v>134</v>
      </c>
      <c r="F243" t="s">
        <v>528</v>
      </c>
    </row>
    <row r="244" spans="1:6">
      <c r="A244" s="74" t="s">
        <v>501</v>
      </c>
      <c r="B244" s="74" t="s">
        <v>489</v>
      </c>
      <c r="C244"/>
      <c r="D244"/>
      <c r="E244"/>
    </row>
    <row r="245" spans="1:6">
      <c r="A245" s="74" t="s">
        <v>501</v>
      </c>
      <c r="B245" s="74" t="s">
        <v>490</v>
      </c>
      <c r="C245"/>
      <c r="D245"/>
      <c r="E245"/>
    </row>
    <row r="246" spans="1:6">
      <c r="A246" s="74" t="s">
        <v>501</v>
      </c>
      <c r="B246" s="74" t="s">
        <v>491</v>
      </c>
      <c r="C246"/>
      <c r="D246"/>
      <c r="E246"/>
    </row>
    <row r="247" spans="1:6">
      <c r="A247" s="74" t="s">
        <v>501</v>
      </c>
      <c r="B247" s="74" t="s">
        <v>492</v>
      </c>
      <c r="C247"/>
      <c r="D247"/>
      <c r="E247"/>
    </row>
    <row r="248" spans="1:6">
      <c r="A248" s="74" t="s">
        <v>501</v>
      </c>
      <c r="B248" s="74" t="s">
        <v>493</v>
      </c>
      <c r="C248"/>
      <c r="D248"/>
      <c r="E248"/>
    </row>
    <row r="249" spans="1:6">
      <c r="A249" s="74" t="s">
        <v>501</v>
      </c>
      <c r="B249" s="74" t="s">
        <v>494</v>
      </c>
      <c r="C249"/>
      <c r="D249"/>
      <c r="E249"/>
    </row>
    <row r="250" spans="1:6">
      <c r="A250" s="74" t="s">
        <v>501</v>
      </c>
      <c r="B250" s="74" t="s">
        <v>495</v>
      </c>
      <c r="C250"/>
      <c r="D250"/>
      <c r="E250"/>
    </row>
    <row r="251" spans="1:6">
      <c r="A251" s="74" t="s">
        <v>501</v>
      </c>
      <c r="B251" s="74" t="s">
        <v>496</v>
      </c>
      <c r="C251"/>
      <c r="D251"/>
      <c r="E251"/>
    </row>
    <row r="252" spans="1:6">
      <c r="A252" s="74" t="s">
        <v>501</v>
      </c>
      <c r="B252" s="74" t="s">
        <v>497</v>
      </c>
      <c r="C252"/>
      <c r="D252"/>
      <c r="E252"/>
    </row>
    <row r="253" spans="1:6">
      <c r="A253" s="74" t="s">
        <v>501</v>
      </c>
      <c r="B253" s="74" t="s">
        <v>498</v>
      </c>
      <c r="C253"/>
      <c r="D253"/>
      <c r="E253"/>
    </row>
    <row r="254" spans="1:6">
      <c r="A254" s="74" t="s">
        <v>501</v>
      </c>
      <c r="B254" s="74" t="s">
        <v>499</v>
      </c>
      <c r="C254"/>
      <c r="D254"/>
      <c r="E254"/>
    </row>
    <row r="255" spans="1:6">
      <c r="A255" s="74" t="s">
        <v>501</v>
      </c>
      <c r="B255" s="74" t="s">
        <v>500</v>
      </c>
      <c r="C255"/>
      <c r="D255"/>
      <c r="E255"/>
    </row>
    <row r="256" spans="1:6">
      <c r="A256" s="74" t="s">
        <v>137</v>
      </c>
      <c r="B256" s="74" t="s">
        <v>226</v>
      </c>
    </row>
    <row r="257" spans="1:6">
      <c r="A257" t="s">
        <v>137</v>
      </c>
      <c r="B257" s="89" t="s">
        <v>224</v>
      </c>
      <c r="C257" t="s">
        <v>9</v>
      </c>
      <c r="D257" t="s">
        <v>143</v>
      </c>
      <c r="E257" s="54" t="s">
        <v>134</v>
      </c>
      <c r="F257" t="s">
        <v>223</v>
      </c>
    </row>
    <row r="258" spans="1:6">
      <c r="A258" t="s">
        <v>137</v>
      </c>
      <c r="B258" s="89" t="s">
        <v>222</v>
      </c>
      <c r="C258" t="s">
        <v>16</v>
      </c>
      <c r="D258" t="s">
        <v>143</v>
      </c>
      <c r="E258" s="54" t="s">
        <v>134</v>
      </c>
      <c r="F258" t="s">
        <v>219</v>
      </c>
    </row>
    <row r="259" spans="1:6">
      <c r="A259" t="s">
        <v>137</v>
      </c>
      <c r="B259" s="89" t="s">
        <v>220</v>
      </c>
      <c r="C259" t="s">
        <v>24</v>
      </c>
      <c r="D259" t="s">
        <v>143</v>
      </c>
      <c r="E259" s="54" t="s">
        <v>134</v>
      </c>
      <c r="F259" t="s">
        <v>206</v>
      </c>
    </row>
    <row r="260" spans="1:6">
      <c r="A260" t="s">
        <v>137</v>
      </c>
      <c r="B260" s="89" t="s">
        <v>218</v>
      </c>
      <c r="C260" t="s">
        <v>24</v>
      </c>
      <c r="D260" t="s">
        <v>143</v>
      </c>
      <c r="E260" s="54" t="s">
        <v>134</v>
      </c>
      <c r="F260" t="s">
        <v>192</v>
      </c>
    </row>
    <row r="261" spans="1:6">
      <c r="A261" t="s">
        <v>137</v>
      </c>
      <c r="B261" s="89" t="s">
        <v>217</v>
      </c>
      <c r="C261" t="s">
        <v>24</v>
      </c>
      <c r="D261" t="s">
        <v>143</v>
      </c>
      <c r="E261" s="54" t="s">
        <v>134</v>
      </c>
      <c r="F261" t="s">
        <v>190</v>
      </c>
    </row>
    <row r="262" spans="1:6">
      <c r="A262" t="s">
        <v>137</v>
      </c>
      <c r="B262" s="89" t="s">
        <v>216</v>
      </c>
      <c r="C262" t="s">
        <v>24</v>
      </c>
      <c r="D262" t="s">
        <v>143</v>
      </c>
      <c r="E262" s="54" t="s">
        <v>134</v>
      </c>
      <c r="F262" t="s">
        <v>188</v>
      </c>
    </row>
    <row r="263" spans="1:6">
      <c r="A263" t="s">
        <v>137</v>
      </c>
      <c r="B263" s="89" t="s">
        <v>215</v>
      </c>
      <c r="C263" t="s">
        <v>24</v>
      </c>
      <c r="D263" t="s">
        <v>143</v>
      </c>
      <c r="E263" s="54" t="s">
        <v>134</v>
      </c>
      <c r="F263" t="s">
        <v>186</v>
      </c>
    </row>
    <row r="264" spans="1:6">
      <c r="A264" t="s">
        <v>137</v>
      </c>
      <c r="B264" s="89" t="s">
        <v>213</v>
      </c>
      <c r="C264" t="s">
        <v>24</v>
      </c>
      <c r="D264" t="s">
        <v>143</v>
      </c>
      <c r="E264" s="54" t="s">
        <v>134</v>
      </c>
      <c r="F264" t="s">
        <v>184</v>
      </c>
    </row>
    <row r="265" spans="1:6">
      <c r="A265" t="s">
        <v>137</v>
      </c>
      <c r="B265" s="89" t="s">
        <v>211</v>
      </c>
      <c r="C265" t="s">
        <v>24</v>
      </c>
      <c r="D265" t="s">
        <v>143</v>
      </c>
      <c r="E265" s="54" t="s">
        <v>134</v>
      </c>
      <c r="F265" t="s">
        <v>182</v>
      </c>
    </row>
    <row r="266" spans="1:6">
      <c r="A266" t="s">
        <v>137</v>
      </c>
      <c r="B266" s="89" t="s">
        <v>209</v>
      </c>
      <c r="C266" t="s">
        <v>24</v>
      </c>
      <c r="D266" t="s">
        <v>143</v>
      </c>
      <c r="E266" s="54" t="s">
        <v>134</v>
      </c>
      <c r="F266" t="s">
        <v>180</v>
      </c>
    </row>
    <row r="267" spans="1:6">
      <c r="A267" t="s">
        <v>137</v>
      </c>
      <c r="B267" s="89" t="s">
        <v>207</v>
      </c>
      <c r="C267" t="s">
        <v>24</v>
      </c>
      <c r="D267" t="s">
        <v>143</v>
      </c>
      <c r="E267" s="54" t="s">
        <v>134</v>
      </c>
      <c r="F267" t="s">
        <v>176</v>
      </c>
    </row>
    <row r="268" spans="1:6">
      <c r="A268" t="s">
        <v>137</v>
      </c>
      <c r="B268" s="89" t="s">
        <v>205</v>
      </c>
      <c r="C268" t="s">
        <v>24</v>
      </c>
      <c r="D268" t="s">
        <v>143</v>
      </c>
      <c r="E268" s="54" t="s">
        <v>134</v>
      </c>
      <c r="F268" t="s">
        <v>174</v>
      </c>
    </row>
    <row r="269" spans="1:6">
      <c r="A269" t="s">
        <v>137</v>
      </c>
      <c r="B269" s="89" t="s">
        <v>203</v>
      </c>
      <c r="C269" t="s">
        <v>24</v>
      </c>
      <c r="D269" t="s">
        <v>143</v>
      </c>
      <c r="E269" t="s">
        <v>134</v>
      </c>
      <c r="F269" t="s">
        <v>178</v>
      </c>
    </row>
    <row r="270" spans="1:6">
      <c r="A270" t="s">
        <v>137</v>
      </c>
      <c r="B270" s="89" t="s">
        <v>201</v>
      </c>
      <c r="C270" t="s">
        <v>23</v>
      </c>
      <c r="D270" t="s">
        <v>143</v>
      </c>
      <c r="E270" t="s">
        <v>134</v>
      </c>
      <c r="F270" t="s">
        <v>145</v>
      </c>
    </row>
    <row r="271" spans="1:6">
      <c r="A271" t="s">
        <v>137</v>
      </c>
      <c r="B271" s="89" t="s">
        <v>199</v>
      </c>
      <c r="C271" t="s">
        <v>23</v>
      </c>
      <c r="D271" t="s">
        <v>143</v>
      </c>
      <c r="E271" t="s">
        <v>134</v>
      </c>
      <c r="F271" t="s">
        <v>142</v>
      </c>
    </row>
    <row r="272" spans="1:6">
      <c r="A272" t="s">
        <v>137</v>
      </c>
      <c r="B272" s="89" t="s">
        <v>197</v>
      </c>
      <c r="C272" s="73" t="s">
        <v>9</v>
      </c>
      <c r="D272" s="73" t="s">
        <v>148</v>
      </c>
      <c r="E272" s="73" t="s">
        <v>134</v>
      </c>
      <c r="F272" s="73" t="s">
        <v>225</v>
      </c>
    </row>
    <row r="273" spans="1:6">
      <c r="A273" t="s">
        <v>137</v>
      </c>
      <c r="B273" s="89" t="s">
        <v>195</v>
      </c>
      <c r="C273" s="73" t="s">
        <v>16</v>
      </c>
      <c r="D273" s="73" t="s">
        <v>148</v>
      </c>
      <c r="E273" s="73" t="s">
        <v>134</v>
      </c>
      <c r="F273" s="73" t="s">
        <v>221</v>
      </c>
    </row>
    <row r="274" spans="1:6">
      <c r="A274" t="s">
        <v>137</v>
      </c>
      <c r="B274" s="89" t="s">
        <v>193</v>
      </c>
      <c r="C274" t="s">
        <v>16</v>
      </c>
      <c r="D274" t="s">
        <v>148</v>
      </c>
      <c r="E274" t="s">
        <v>32</v>
      </c>
      <c r="F274" t="s">
        <v>758</v>
      </c>
    </row>
    <row r="275" spans="1:6">
      <c r="A275" t="s">
        <v>137</v>
      </c>
      <c r="B275" s="89" t="s">
        <v>191</v>
      </c>
      <c r="C275" t="s">
        <v>16</v>
      </c>
      <c r="D275" t="s">
        <v>148</v>
      </c>
      <c r="E275" t="s">
        <v>32</v>
      </c>
      <c r="F275" t="s">
        <v>759</v>
      </c>
    </row>
    <row r="276" spans="1:6">
      <c r="A276" t="s">
        <v>137</v>
      </c>
      <c r="B276" s="89" t="s">
        <v>189</v>
      </c>
      <c r="C276" t="s">
        <v>16</v>
      </c>
      <c r="D276" t="s">
        <v>148</v>
      </c>
      <c r="E276" t="s">
        <v>32</v>
      </c>
      <c r="F276" t="s">
        <v>760</v>
      </c>
    </row>
    <row r="277" spans="1:6">
      <c r="A277" t="s">
        <v>137</v>
      </c>
      <c r="B277" s="89" t="s">
        <v>187</v>
      </c>
      <c r="C277" t="s">
        <v>24</v>
      </c>
      <c r="D277" t="s">
        <v>148</v>
      </c>
      <c r="E277" t="s">
        <v>27</v>
      </c>
      <c r="F277" t="s">
        <v>214</v>
      </c>
    </row>
    <row r="278" spans="1:6">
      <c r="A278" t="s">
        <v>137</v>
      </c>
      <c r="B278" s="89" t="s">
        <v>185</v>
      </c>
      <c r="C278" t="s">
        <v>24</v>
      </c>
      <c r="D278" t="s">
        <v>148</v>
      </c>
      <c r="E278" t="s">
        <v>32</v>
      </c>
      <c r="F278" t="s">
        <v>212</v>
      </c>
    </row>
    <row r="279" spans="1:6">
      <c r="A279" t="s">
        <v>137</v>
      </c>
      <c r="B279" s="89" t="s">
        <v>183</v>
      </c>
      <c r="C279" t="s">
        <v>24</v>
      </c>
      <c r="D279" t="s">
        <v>148</v>
      </c>
      <c r="E279" t="s">
        <v>28</v>
      </c>
      <c r="F279" t="s">
        <v>210</v>
      </c>
    </row>
    <row r="280" spans="1:6">
      <c r="A280" t="s">
        <v>137</v>
      </c>
      <c r="B280" s="89" t="s">
        <v>181</v>
      </c>
      <c r="C280" t="s">
        <v>24</v>
      </c>
      <c r="D280" t="s">
        <v>148</v>
      </c>
      <c r="E280" t="s">
        <v>29</v>
      </c>
      <c r="F280" t="s">
        <v>208</v>
      </c>
    </row>
    <row r="281" spans="1:6">
      <c r="A281" t="s">
        <v>137</v>
      </c>
      <c r="B281" s="89" t="s">
        <v>179</v>
      </c>
      <c r="C281" t="s">
        <v>24</v>
      </c>
      <c r="D281" t="s">
        <v>148</v>
      </c>
      <c r="E281" t="s">
        <v>29</v>
      </c>
      <c r="F281" t="s">
        <v>204</v>
      </c>
    </row>
    <row r="282" spans="1:6">
      <c r="A282" t="s">
        <v>137</v>
      </c>
      <c r="B282" s="89" t="s">
        <v>177</v>
      </c>
      <c r="C282" t="s">
        <v>24</v>
      </c>
      <c r="D282" t="s">
        <v>148</v>
      </c>
      <c r="E282" t="s">
        <v>27</v>
      </c>
      <c r="F282" t="s">
        <v>202</v>
      </c>
    </row>
    <row r="283" spans="1:6">
      <c r="A283" s="74" t="s">
        <v>137</v>
      </c>
      <c r="B283" s="74" t="s">
        <v>175</v>
      </c>
    </row>
    <row r="284" spans="1:6">
      <c r="A284" s="74" t="s">
        <v>137</v>
      </c>
      <c r="B284" s="74" t="s">
        <v>173</v>
      </c>
    </row>
    <row r="285" spans="1:6">
      <c r="A285" t="s">
        <v>137</v>
      </c>
      <c r="B285" s="89" t="s">
        <v>171</v>
      </c>
      <c r="C285" t="s">
        <v>23</v>
      </c>
      <c r="D285" t="s">
        <v>148</v>
      </c>
      <c r="E285" t="s">
        <v>27</v>
      </c>
      <c r="F285" t="s">
        <v>196</v>
      </c>
    </row>
    <row r="286" spans="1:6">
      <c r="A286" t="s">
        <v>137</v>
      </c>
      <c r="B286" s="89" t="s">
        <v>169</v>
      </c>
      <c r="C286" t="s">
        <v>23</v>
      </c>
      <c r="D286" t="s">
        <v>148</v>
      </c>
      <c r="E286" t="s">
        <v>31</v>
      </c>
      <c r="F286" t="s">
        <v>194</v>
      </c>
    </row>
    <row r="287" spans="1:6">
      <c r="A287" t="s">
        <v>137</v>
      </c>
      <c r="B287" s="89" t="s">
        <v>167</v>
      </c>
      <c r="C287" t="s">
        <v>23</v>
      </c>
      <c r="D287" t="s">
        <v>148</v>
      </c>
      <c r="E287" t="s">
        <v>27</v>
      </c>
      <c r="F287" t="s">
        <v>172</v>
      </c>
    </row>
    <row r="288" spans="1:6">
      <c r="A288" t="s">
        <v>137</v>
      </c>
      <c r="B288" s="89" t="s">
        <v>165</v>
      </c>
      <c r="C288" t="s">
        <v>23</v>
      </c>
      <c r="D288" t="s">
        <v>148</v>
      </c>
      <c r="E288" t="s">
        <v>31</v>
      </c>
      <c r="F288" t="s">
        <v>170</v>
      </c>
    </row>
    <row r="289" spans="1:6">
      <c r="A289" t="s">
        <v>137</v>
      </c>
      <c r="B289" s="89" t="s">
        <v>163</v>
      </c>
      <c r="C289" t="s">
        <v>23</v>
      </c>
      <c r="D289" t="s">
        <v>148</v>
      </c>
      <c r="E289" t="s">
        <v>27</v>
      </c>
      <c r="F289" t="s">
        <v>168</v>
      </c>
    </row>
    <row r="290" spans="1:6">
      <c r="A290" t="s">
        <v>137</v>
      </c>
      <c r="B290" s="89" t="s">
        <v>161</v>
      </c>
      <c r="C290" t="s">
        <v>23</v>
      </c>
      <c r="D290" t="s">
        <v>148</v>
      </c>
      <c r="E290" t="s">
        <v>31</v>
      </c>
      <c r="F290" t="s">
        <v>166</v>
      </c>
    </row>
    <row r="291" spans="1:6">
      <c r="A291" t="s">
        <v>137</v>
      </c>
      <c r="B291" s="89" t="s">
        <v>159</v>
      </c>
      <c r="C291" t="s">
        <v>25</v>
      </c>
      <c r="D291" t="s">
        <v>148</v>
      </c>
      <c r="E291" t="s">
        <v>32</v>
      </c>
      <c r="F291" t="s">
        <v>164</v>
      </c>
    </row>
    <row r="292" spans="1:6">
      <c r="A292" t="s">
        <v>137</v>
      </c>
      <c r="B292" s="89" t="s">
        <v>157</v>
      </c>
      <c r="C292" t="s">
        <v>23</v>
      </c>
      <c r="D292" t="s">
        <v>148</v>
      </c>
      <c r="E292" t="s">
        <v>27</v>
      </c>
      <c r="F292" t="s">
        <v>162</v>
      </c>
    </row>
    <row r="293" spans="1:6">
      <c r="A293" t="s">
        <v>137</v>
      </c>
      <c r="B293" s="89" t="s">
        <v>155</v>
      </c>
      <c r="C293" t="s">
        <v>23</v>
      </c>
      <c r="D293" t="s">
        <v>148</v>
      </c>
      <c r="E293" t="s">
        <v>27</v>
      </c>
      <c r="F293" t="s">
        <v>160</v>
      </c>
    </row>
    <row r="294" spans="1:6">
      <c r="A294" t="s">
        <v>137</v>
      </c>
      <c r="B294" s="89" t="s">
        <v>153</v>
      </c>
      <c r="C294" t="s">
        <v>23</v>
      </c>
      <c r="D294" t="s">
        <v>148</v>
      </c>
      <c r="E294" t="s">
        <v>27</v>
      </c>
      <c r="F294" t="s">
        <v>158</v>
      </c>
    </row>
    <row r="295" spans="1:6">
      <c r="A295" t="s">
        <v>137</v>
      </c>
      <c r="B295" s="89" t="s">
        <v>151</v>
      </c>
      <c r="C295" t="s">
        <v>23</v>
      </c>
      <c r="D295" t="s">
        <v>148</v>
      </c>
      <c r="E295" t="s">
        <v>27</v>
      </c>
      <c r="F295" t="s">
        <v>156</v>
      </c>
    </row>
    <row r="296" spans="1:6">
      <c r="A296" t="s">
        <v>137</v>
      </c>
      <c r="B296" s="89" t="s">
        <v>149</v>
      </c>
      <c r="C296" t="s">
        <v>23</v>
      </c>
      <c r="D296" t="s">
        <v>148</v>
      </c>
      <c r="E296" t="s">
        <v>27</v>
      </c>
      <c r="F296" t="s">
        <v>154</v>
      </c>
    </row>
    <row r="297" spans="1:6">
      <c r="A297" t="s">
        <v>137</v>
      </c>
      <c r="B297" s="89" t="s">
        <v>146</v>
      </c>
      <c r="C297" t="s">
        <v>23</v>
      </c>
      <c r="D297" t="s">
        <v>148</v>
      </c>
      <c r="E297" t="s">
        <v>27</v>
      </c>
      <c r="F297" t="s">
        <v>152</v>
      </c>
    </row>
    <row r="298" spans="1:6">
      <c r="A298" t="s">
        <v>137</v>
      </c>
      <c r="B298" s="89" t="s">
        <v>144</v>
      </c>
      <c r="C298" t="s">
        <v>23</v>
      </c>
      <c r="D298" t="s">
        <v>148</v>
      </c>
      <c r="E298" t="s">
        <v>27</v>
      </c>
      <c r="F298" t="s">
        <v>150</v>
      </c>
    </row>
    <row r="299" spans="1:6">
      <c r="A299" t="s">
        <v>137</v>
      </c>
      <c r="B299" s="89" t="s">
        <v>141</v>
      </c>
      <c r="C299" t="s">
        <v>23</v>
      </c>
      <c r="D299" t="s">
        <v>148</v>
      </c>
      <c r="E299" t="s">
        <v>27</v>
      </c>
      <c r="F299" t="s">
        <v>147</v>
      </c>
    </row>
    <row r="300" spans="1:6">
      <c r="A300" s="74" t="s">
        <v>137</v>
      </c>
      <c r="B300" s="74" t="s">
        <v>140</v>
      </c>
    </row>
    <row r="301" spans="1:6">
      <c r="A301" s="74" t="s">
        <v>137</v>
      </c>
      <c r="B301" s="74" t="s">
        <v>139</v>
      </c>
    </row>
    <row r="302" spans="1:6">
      <c r="A302" s="74" t="s">
        <v>137</v>
      </c>
      <c r="B302" s="74" t="s">
        <v>138</v>
      </c>
    </row>
    <row r="303" spans="1:6">
      <c r="A303" s="74" t="s">
        <v>137</v>
      </c>
      <c r="B303" s="77" t="s">
        <v>136</v>
      </c>
    </row>
    <row r="304" spans="1:6">
      <c r="A304" t="s">
        <v>322</v>
      </c>
      <c r="B304" s="91" t="s">
        <v>299</v>
      </c>
      <c r="C304" s="3" t="s">
        <v>14</v>
      </c>
      <c r="D304" s="3" t="s">
        <v>258</v>
      </c>
      <c r="E304" s="3" t="s">
        <v>134</v>
      </c>
      <c r="F304" s="3" t="s">
        <v>356</v>
      </c>
    </row>
    <row r="305" spans="1:6">
      <c r="A305" t="s">
        <v>322</v>
      </c>
      <c r="B305" s="91" t="s">
        <v>127</v>
      </c>
      <c r="C305" s="3" t="s">
        <v>14</v>
      </c>
      <c r="D305" s="3" t="s">
        <v>258</v>
      </c>
      <c r="E305" s="3" t="s">
        <v>134</v>
      </c>
      <c r="F305" s="3" t="s">
        <v>357</v>
      </c>
    </row>
    <row r="306" spans="1:6">
      <c r="A306" t="s">
        <v>322</v>
      </c>
      <c r="B306" s="91" t="s">
        <v>298</v>
      </c>
      <c r="C306" s="3" t="s">
        <v>14</v>
      </c>
      <c r="D306" s="3" t="s">
        <v>258</v>
      </c>
      <c r="E306" s="3" t="s">
        <v>134</v>
      </c>
      <c r="F306" s="3" t="s">
        <v>358</v>
      </c>
    </row>
    <row r="307" spans="1:6">
      <c r="A307" t="s">
        <v>322</v>
      </c>
      <c r="B307" s="91" t="s">
        <v>297</v>
      </c>
      <c r="C307" s="3" t="s">
        <v>14</v>
      </c>
      <c r="D307" s="3" t="s">
        <v>258</v>
      </c>
      <c r="E307" s="3" t="s">
        <v>134</v>
      </c>
      <c r="F307" s="3" t="s">
        <v>359</v>
      </c>
    </row>
    <row r="308" spans="1:6">
      <c r="A308" t="s">
        <v>322</v>
      </c>
      <c r="B308" s="91" t="s">
        <v>325</v>
      </c>
      <c r="C308" s="3" t="s">
        <v>14</v>
      </c>
      <c r="D308" s="3" t="s">
        <v>258</v>
      </c>
      <c r="E308" s="3" t="s">
        <v>134</v>
      </c>
      <c r="F308" s="3" t="s">
        <v>360</v>
      </c>
    </row>
    <row r="309" spans="1:6">
      <c r="A309" t="s">
        <v>322</v>
      </c>
      <c r="B309" s="91" t="s">
        <v>130</v>
      </c>
      <c r="C309" s="3" t="s">
        <v>14</v>
      </c>
      <c r="D309" s="3" t="s">
        <v>258</v>
      </c>
      <c r="E309" s="3" t="s">
        <v>134</v>
      </c>
      <c r="F309" s="3" t="s">
        <v>361</v>
      </c>
    </row>
    <row r="310" spans="1:6">
      <c r="A310" t="s">
        <v>322</v>
      </c>
      <c r="B310" s="91" t="s">
        <v>326</v>
      </c>
      <c r="C310" s="3" t="s">
        <v>14</v>
      </c>
      <c r="D310" s="3" t="s">
        <v>258</v>
      </c>
      <c r="E310" s="3" t="s">
        <v>134</v>
      </c>
      <c r="F310" s="3" t="s">
        <v>362</v>
      </c>
    </row>
    <row r="311" spans="1:6">
      <c r="A311" t="s">
        <v>322</v>
      </c>
      <c r="B311" s="91" t="s">
        <v>327</v>
      </c>
      <c r="C311" s="3" t="s">
        <v>14</v>
      </c>
      <c r="D311" s="3" t="s">
        <v>258</v>
      </c>
      <c r="E311" s="3" t="s">
        <v>134</v>
      </c>
      <c r="F311" s="3" t="s">
        <v>363</v>
      </c>
    </row>
    <row r="312" spans="1:6">
      <c r="A312" t="s">
        <v>322</v>
      </c>
      <c r="B312" s="91" t="s">
        <v>328</v>
      </c>
      <c r="C312" s="3" t="s">
        <v>22</v>
      </c>
      <c r="D312" s="3" t="s">
        <v>258</v>
      </c>
      <c r="E312" s="3" t="s">
        <v>134</v>
      </c>
      <c r="F312" s="3" t="s">
        <v>370</v>
      </c>
    </row>
    <row r="313" spans="1:6">
      <c r="A313" t="s">
        <v>322</v>
      </c>
      <c r="B313" s="91" t="s">
        <v>131</v>
      </c>
      <c r="C313" s="3" t="s">
        <v>22</v>
      </c>
      <c r="D313" s="3" t="s">
        <v>258</v>
      </c>
      <c r="E313" s="3" t="s">
        <v>134</v>
      </c>
      <c r="F313" s="3" t="s">
        <v>371</v>
      </c>
    </row>
    <row r="314" spans="1:6">
      <c r="A314" t="s">
        <v>322</v>
      </c>
      <c r="B314" s="91" t="s">
        <v>329</v>
      </c>
      <c r="C314" s="3" t="s">
        <v>22</v>
      </c>
      <c r="D314" s="3" t="s">
        <v>258</v>
      </c>
      <c r="E314" s="3" t="s">
        <v>134</v>
      </c>
      <c r="F314" s="3" t="s">
        <v>372</v>
      </c>
    </row>
    <row r="315" spans="1:6">
      <c r="A315" t="s">
        <v>322</v>
      </c>
      <c r="B315" s="91" t="s">
        <v>330</v>
      </c>
      <c r="C315" s="3" t="s">
        <v>22</v>
      </c>
      <c r="D315" s="3" t="s">
        <v>258</v>
      </c>
      <c r="E315" s="3" t="s">
        <v>134</v>
      </c>
      <c r="F315" s="3" t="s">
        <v>373</v>
      </c>
    </row>
    <row r="316" spans="1:6">
      <c r="A316" t="s">
        <v>322</v>
      </c>
      <c r="B316" s="91" t="s">
        <v>331</v>
      </c>
      <c r="C316" s="3" t="s">
        <v>22</v>
      </c>
      <c r="D316" s="3" t="s">
        <v>258</v>
      </c>
      <c r="E316" s="3" t="s">
        <v>134</v>
      </c>
      <c r="F316" s="3" t="s">
        <v>374</v>
      </c>
    </row>
    <row r="317" spans="1:6">
      <c r="A317" t="s">
        <v>322</v>
      </c>
      <c r="B317" s="91" t="s">
        <v>332</v>
      </c>
      <c r="C317" s="3" t="s">
        <v>22</v>
      </c>
      <c r="D317" s="3" t="s">
        <v>258</v>
      </c>
      <c r="E317" s="3" t="s">
        <v>134</v>
      </c>
      <c r="F317" s="3" t="s">
        <v>375</v>
      </c>
    </row>
    <row r="318" spans="1:6">
      <c r="A318" t="s">
        <v>322</v>
      </c>
      <c r="B318" s="91" t="s">
        <v>333</v>
      </c>
      <c r="C318" s="3" t="s">
        <v>22</v>
      </c>
      <c r="D318" s="3" t="s">
        <v>258</v>
      </c>
      <c r="E318" s="3" t="s">
        <v>134</v>
      </c>
      <c r="F318" s="3" t="s">
        <v>376</v>
      </c>
    </row>
    <row r="319" spans="1:6">
      <c r="A319" t="s">
        <v>322</v>
      </c>
      <c r="B319" s="91" t="s">
        <v>334</v>
      </c>
      <c r="C319" s="3" t="s">
        <v>22</v>
      </c>
      <c r="D319" s="3" t="s">
        <v>258</v>
      </c>
      <c r="E319" s="3" t="s">
        <v>134</v>
      </c>
      <c r="F319" s="3" t="s">
        <v>377</v>
      </c>
    </row>
    <row r="320" spans="1:6">
      <c r="A320" t="s">
        <v>323</v>
      </c>
      <c r="B320" s="91" t="s">
        <v>299</v>
      </c>
      <c r="C320" s="3" t="s">
        <v>21</v>
      </c>
      <c r="D320" s="3" t="s">
        <v>258</v>
      </c>
      <c r="E320" s="3" t="s">
        <v>134</v>
      </c>
      <c r="F320" s="3" t="s">
        <v>378</v>
      </c>
    </row>
    <row r="321" spans="1:6">
      <c r="A321" t="s">
        <v>323</v>
      </c>
      <c r="B321" s="91" t="s">
        <v>127</v>
      </c>
      <c r="C321" s="3" t="s">
        <v>21</v>
      </c>
      <c r="D321" s="3" t="s">
        <v>258</v>
      </c>
      <c r="E321" s="3" t="s">
        <v>134</v>
      </c>
      <c r="F321" s="3" t="s">
        <v>379</v>
      </c>
    </row>
    <row r="322" spans="1:6">
      <c r="A322" t="s">
        <v>323</v>
      </c>
      <c r="B322" s="91" t="s">
        <v>298</v>
      </c>
      <c r="C322" s="3" t="s">
        <v>21</v>
      </c>
      <c r="D322" s="3" t="s">
        <v>258</v>
      </c>
      <c r="E322" s="3" t="s">
        <v>134</v>
      </c>
      <c r="F322" s="3" t="s">
        <v>380</v>
      </c>
    </row>
    <row r="323" spans="1:6">
      <c r="A323" t="s">
        <v>323</v>
      </c>
      <c r="B323" s="91" t="s">
        <v>297</v>
      </c>
      <c r="C323" s="3" t="s">
        <v>21</v>
      </c>
      <c r="D323" s="3" t="s">
        <v>258</v>
      </c>
      <c r="E323" s="3" t="s">
        <v>134</v>
      </c>
      <c r="F323" s="3" t="s">
        <v>381</v>
      </c>
    </row>
    <row r="324" spans="1:6">
      <c r="A324" t="s">
        <v>323</v>
      </c>
      <c r="B324" s="91" t="s">
        <v>325</v>
      </c>
      <c r="C324" s="3" t="s">
        <v>21</v>
      </c>
      <c r="D324" s="3" t="s">
        <v>258</v>
      </c>
      <c r="E324" s="3" t="s">
        <v>134</v>
      </c>
      <c r="F324" s="3" t="s">
        <v>382</v>
      </c>
    </row>
    <row r="325" spans="1:6">
      <c r="A325" t="s">
        <v>323</v>
      </c>
      <c r="B325" s="91" t="s">
        <v>130</v>
      </c>
      <c r="C325" s="3" t="s">
        <v>21</v>
      </c>
      <c r="D325" s="3" t="s">
        <v>258</v>
      </c>
      <c r="E325" s="3" t="s">
        <v>134</v>
      </c>
      <c r="F325" s="3" t="s">
        <v>383</v>
      </c>
    </row>
    <row r="326" spans="1:6">
      <c r="A326" t="s">
        <v>323</v>
      </c>
      <c r="B326" s="91" t="s">
        <v>326</v>
      </c>
      <c r="C326" s="3" t="s">
        <v>21</v>
      </c>
      <c r="D326" s="3" t="s">
        <v>258</v>
      </c>
      <c r="E326" s="3" t="s">
        <v>134</v>
      </c>
      <c r="F326" s="3" t="s">
        <v>384</v>
      </c>
    </row>
    <row r="327" spans="1:6">
      <c r="A327" t="s">
        <v>323</v>
      </c>
      <c r="B327" s="91" t="s">
        <v>327</v>
      </c>
      <c r="C327" s="3" t="s">
        <v>21</v>
      </c>
      <c r="D327" s="3" t="s">
        <v>258</v>
      </c>
      <c r="E327" s="3" t="s">
        <v>134</v>
      </c>
      <c r="F327" s="3" t="s">
        <v>385</v>
      </c>
    </row>
    <row r="328" spans="1:6">
      <c r="A328" t="s">
        <v>323</v>
      </c>
      <c r="B328" s="91" t="s">
        <v>328</v>
      </c>
      <c r="C328" s="3" t="s">
        <v>21</v>
      </c>
      <c r="D328" s="3" t="s">
        <v>258</v>
      </c>
      <c r="E328" s="3" t="s">
        <v>134</v>
      </c>
      <c r="F328" s="3" t="s">
        <v>386</v>
      </c>
    </row>
    <row r="329" spans="1:6">
      <c r="A329" t="s">
        <v>323</v>
      </c>
      <c r="B329" s="91" t="s">
        <v>131</v>
      </c>
      <c r="C329" s="3" t="s">
        <v>21</v>
      </c>
      <c r="D329" s="3" t="s">
        <v>258</v>
      </c>
      <c r="E329" s="3" t="s">
        <v>134</v>
      </c>
      <c r="F329" s="3" t="s">
        <v>387</v>
      </c>
    </row>
    <row r="330" spans="1:6">
      <c r="A330" t="s">
        <v>323</v>
      </c>
      <c r="B330" s="91" t="s">
        <v>329</v>
      </c>
      <c r="C330" s="3" t="s">
        <v>21</v>
      </c>
      <c r="D330" s="3" t="s">
        <v>258</v>
      </c>
      <c r="E330" s="3" t="s">
        <v>134</v>
      </c>
      <c r="F330" s="3" t="s">
        <v>388</v>
      </c>
    </row>
    <row r="331" spans="1:6">
      <c r="A331" t="s">
        <v>323</v>
      </c>
      <c r="B331" s="91" t="s">
        <v>330</v>
      </c>
      <c r="C331" s="3" t="s">
        <v>21</v>
      </c>
      <c r="D331" s="3" t="s">
        <v>258</v>
      </c>
      <c r="E331" s="3" t="s">
        <v>134</v>
      </c>
      <c r="F331" s="3" t="s">
        <v>389</v>
      </c>
    </row>
    <row r="332" spans="1:6">
      <c r="A332" t="s">
        <v>323</v>
      </c>
      <c r="B332" s="91" t="s">
        <v>331</v>
      </c>
      <c r="C332" s="3" t="s">
        <v>134</v>
      </c>
      <c r="D332" s="3" t="s">
        <v>134</v>
      </c>
      <c r="E332" s="3" t="s">
        <v>134</v>
      </c>
      <c r="F332" s="4" t="s">
        <v>516</v>
      </c>
    </row>
    <row r="333" spans="1:6">
      <c r="A333" t="s">
        <v>323</v>
      </c>
      <c r="B333" s="91" t="s">
        <v>332</v>
      </c>
      <c r="C333" s="3" t="s">
        <v>134</v>
      </c>
      <c r="D333" s="3" t="s">
        <v>134</v>
      </c>
      <c r="E333" s="3" t="s">
        <v>134</v>
      </c>
      <c r="F333" s="4" t="s">
        <v>516</v>
      </c>
    </row>
    <row r="334" spans="1:6">
      <c r="A334" t="s">
        <v>323</v>
      </c>
      <c r="B334" s="91" t="s">
        <v>333</v>
      </c>
      <c r="C334" s="3" t="s">
        <v>134</v>
      </c>
      <c r="D334" s="3" t="s">
        <v>134</v>
      </c>
      <c r="E334" s="3" t="s">
        <v>134</v>
      </c>
      <c r="F334" s="4" t="s">
        <v>516</v>
      </c>
    </row>
    <row r="335" spans="1:6">
      <c r="A335" t="s">
        <v>323</v>
      </c>
      <c r="B335" s="91" t="s">
        <v>334</v>
      </c>
      <c r="C335" s="3" t="s">
        <v>134</v>
      </c>
      <c r="D335" s="3" t="s">
        <v>134</v>
      </c>
      <c r="E335" s="3" t="s">
        <v>134</v>
      </c>
      <c r="F335" s="4" t="s">
        <v>516</v>
      </c>
    </row>
    <row r="336" spans="1:6">
      <c r="A336" t="s">
        <v>324</v>
      </c>
      <c r="B336" s="91" t="s">
        <v>299</v>
      </c>
      <c r="C336" s="3" t="s">
        <v>507</v>
      </c>
      <c r="D336" s="3" t="s">
        <v>258</v>
      </c>
      <c r="E336" s="3" t="s">
        <v>134</v>
      </c>
      <c r="F336" s="3" t="s">
        <v>390</v>
      </c>
    </row>
    <row r="337" spans="1:6">
      <c r="A337" t="s">
        <v>324</v>
      </c>
      <c r="B337" s="91" t="s">
        <v>127</v>
      </c>
      <c r="C337" s="3" t="s">
        <v>507</v>
      </c>
      <c r="D337" s="3" t="s">
        <v>258</v>
      </c>
      <c r="E337" s="3" t="s">
        <v>134</v>
      </c>
      <c r="F337" s="3" t="s">
        <v>391</v>
      </c>
    </row>
    <row r="338" spans="1:6">
      <c r="A338" t="s">
        <v>324</v>
      </c>
      <c r="B338" s="91" t="s">
        <v>298</v>
      </c>
      <c r="C338" s="3" t="s">
        <v>507</v>
      </c>
      <c r="D338" s="3" t="s">
        <v>258</v>
      </c>
      <c r="E338" s="3" t="s">
        <v>134</v>
      </c>
      <c r="F338" s="3" t="s">
        <v>392</v>
      </c>
    </row>
    <row r="339" spans="1:6">
      <c r="A339" t="s">
        <v>324</v>
      </c>
      <c r="B339" s="91" t="s">
        <v>297</v>
      </c>
      <c r="C339" s="3" t="s">
        <v>507</v>
      </c>
      <c r="D339" s="3" t="s">
        <v>258</v>
      </c>
      <c r="E339" s="3" t="s">
        <v>134</v>
      </c>
      <c r="F339" s="3" t="s">
        <v>393</v>
      </c>
    </row>
    <row r="340" spans="1:6">
      <c r="A340" t="s">
        <v>324</v>
      </c>
      <c r="B340" s="91" t="s">
        <v>325</v>
      </c>
      <c r="C340" s="3" t="s">
        <v>507</v>
      </c>
      <c r="D340" s="3" t="s">
        <v>258</v>
      </c>
      <c r="E340" s="3" t="s">
        <v>134</v>
      </c>
      <c r="F340" s="3" t="s">
        <v>394</v>
      </c>
    </row>
    <row r="341" spans="1:6">
      <c r="A341" t="s">
        <v>324</v>
      </c>
      <c r="B341" s="91" t="s">
        <v>130</v>
      </c>
      <c r="C341" s="3" t="s">
        <v>507</v>
      </c>
      <c r="D341" s="3" t="s">
        <v>258</v>
      </c>
      <c r="E341" s="3" t="s">
        <v>134</v>
      </c>
      <c r="F341" s="3" t="s">
        <v>395</v>
      </c>
    </row>
    <row r="342" spans="1:6">
      <c r="A342" t="s">
        <v>324</v>
      </c>
      <c r="B342" s="91" t="s">
        <v>326</v>
      </c>
      <c r="C342" s="3" t="s">
        <v>507</v>
      </c>
      <c r="D342" s="3" t="s">
        <v>258</v>
      </c>
      <c r="E342" s="3" t="s">
        <v>134</v>
      </c>
      <c r="F342" s="3" t="s">
        <v>396</v>
      </c>
    </row>
    <row r="343" spans="1:6">
      <c r="A343" t="s">
        <v>324</v>
      </c>
      <c r="B343" s="91" t="s">
        <v>327</v>
      </c>
      <c r="C343" s="3" t="s">
        <v>507</v>
      </c>
      <c r="D343" s="3" t="s">
        <v>258</v>
      </c>
      <c r="E343" s="3" t="s">
        <v>134</v>
      </c>
      <c r="F343" s="3" t="s">
        <v>397</v>
      </c>
    </row>
    <row r="344" spans="1:6">
      <c r="A344" t="s">
        <v>324</v>
      </c>
      <c r="B344" s="91" t="s">
        <v>328</v>
      </c>
      <c r="C344" s="3" t="s">
        <v>507</v>
      </c>
      <c r="D344" s="3" t="s">
        <v>258</v>
      </c>
      <c r="E344" s="3" t="s">
        <v>134</v>
      </c>
      <c r="F344" s="3" t="s">
        <v>398</v>
      </c>
    </row>
    <row r="345" spans="1:6">
      <c r="A345" t="s">
        <v>324</v>
      </c>
      <c r="B345" s="91" t="s">
        <v>131</v>
      </c>
      <c r="C345" s="3" t="s">
        <v>507</v>
      </c>
      <c r="D345" s="3" t="s">
        <v>258</v>
      </c>
      <c r="E345" s="3" t="s">
        <v>134</v>
      </c>
      <c r="F345" s="3" t="s">
        <v>399</v>
      </c>
    </row>
    <row r="346" spans="1:6">
      <c r="A346" t="s">
        <v>324</v>
      </c>
      <c r="B346" s="91" t="s">
        <v>329</v>
      </c>
      <c r="C346" s="3" t="s">
        <v>507</v>
      </c>
      <c r="D346" s="3" t="s">
        <v>258</v>
      </c>
      <c r="E346" s="3" t="s">
        <v>134</v>
      </c>
      <c r="F346" s="3" t="s">
        <v>400</v>
      </c>
    </row>
    <row r="347" spans="1:6">
      <c r="A347" t="s">
        <v>324</v>
      </c>
      <c r="B347" s="91" t="s">
        <v>330</v>
      </c>
      <c r="C347" s="3" t="s">
        <v>507</v>
      </c>
      <c r="D347" s="3" t="s">
        <v>258</v>
      </c>
      <c r="E347" s="3" t="s">
        <v>134</v>
      </c>
      <c r="F347" s="3" t="s">
        <v>401</v>
      </c>
    </row>
    <row r="348" spans="1:6">
      <c r="A348" t="s">
        <v>324</v>
      </c>
      <c r="B348" s="91" t="s">
        <v>331</v>
      </c>
      <c r="C348" s="3" t="s">
        <v>507</v>
      </c>
      <c r="D348" s="3" t="s">
        <v>258</v>
      </c>
      <c r="E348" s="3" t="s">
        <v>134</v>
      </c>
      <c r="F348" s="3" t="s">
        <v>402</v>
      </c>
    </row>
    <row r="349" spans="1:6">
      <c r="A349" t="s">
        <v>324</v>
      </c>
      <c r="B349" s="91" t="s">
        <v>332</v>
      </c>
      <c r="C349" s="3" t="s">
        <v>507</v>
      </c>
      <c r="D349" s="3" t="s">
        <v>258</v>
      </c>
      <c r="E349" s="3" t="s">
        <v>134</v>
      </c>
      <c r="F349" s="3" t="s">
        <v>403</v>
      </c>
    </row>
    <row r="350" spans="1:6">
      <c r="A350" t="s">
        <v>324</v>
      </c>
      <c r="B350" s="91" t="s">
        <v>333</v>
      </c>
      <c r="C350" s="3" t="s">
        <v>507</v>
      </c>
      <c r="D350" s="3" t="s">
        <v>258</v>
      </c>
      <c r="E350" s="3" t="s">
        <v>134</v>
      </c>
      <c r="F350" s="3" t="s">
        <v>404</v>
      </c>
    </row>
    <row r="351" spans="1:6">
      <c r="A351" t="s">
        <v>324</v>
      </c>
      <c r="B351" s="91" t="s">
        <v>334</v>
      </c>
      <c r="C351" s="3" t="s">
        <v>507</v>
      </c>
      <c r="D351" s="3" t="s">
        <v>258</v>
      </c>
      <c r="E351" s="3" t="s">
        <v>134</v>
      </c>
      <c r="F351" s="3" t="s">
        <v>405</v>
      </c>
    </row>
    <row r="352" spans="1:6">
      <c r="A352" t="s">
        <v>429</v>
      </c>
      <c r="B352" s="91" t="s">
        <v>9</v>
      </c>
      <c r="C352" s="3" t="s">
        <v>22</v>
      </c>
      <c r="D352" s="3" t="s">
        <v>258</v>
      </c>
      <c r="E352" s="3" t="s">
        <v>134</v>
      </c>
      <c r="F352" s="3" t="s">
        <v>430</v>
      </c>
    </row>
    <row r="353" spans="1:6">
      <c r="A353" t="s">
        <v>429</v>
      </c>
      <c r="B353" s="91" t="s">
        <v>9</v>
      </c>
      <c r="C353" s="3" t="s">
        <v>22</v>
      </c>
      <c r="D353" s="3" t="s">
        <v>258</v>
      </c>
      <c r="E353" s="3" t="s">
        <v>134</v>
      </c>
      <c r="F353" s="3" t="s">
        <v>431</v>
      </c>
    </row>
    <row r="354" spans="1:6">
      <c r="A354" t="s">
        <v>429</v>
      </c>
      <c r="B354" s="91" t="s">
        <v>16</v>
      </c>
      <c r="C354" s="3" t="s">
        <v>22</v>
      </c>
      <c r="D354" s="3" t="s">
        <v>258</v>
      </c>
      <c r="E354" s="3" t="s">
        <v>134</v>
      </c>
      <c r="F354" s="3" t="s">
        <v>432</v>
      </c>
    </row>
    <row r="355" spans="1:6">
      <c r="A355" t="s">
        <v>429</v>
      </c>
      <c r="B355" s="91" t="s">
        <v>16</v>
      </c>
      <c r="C355" s="3" t="s">
        <v>22</v>
      </c>
      <c r="D355" s="3" t="s">
        <v>258</v>
      </c>
      <c r="E355" s="3" t="s">
        <v>134</v>
      </c>
      <c r="F355" s="3" t="s">
        <v>433</v>
      </c>
    </row>
    <row r="356" spans="1:6">
      <c r="A356" s="54" t="s">
        <v>134</v>
      </c>
      <c r="B356" s="92" t="s">
        <v>134</v>
      </c>
      <c r="C356" s="85" t="s">
        <v>25</v>
      </c>
      <c r="D356" s="76" t="s">
        <v>134</v>
      </c>
      <c r="E356" s="85" t="s">
        <v>29</v>
      </c>
      <c r="F356" s="4" t="s">
        <v>135</v>
      </c>
    </row>
  </sheetData>
  <mergeCells count="13">
    <mergeCell ref="J25:M25"/>
    <mergeCell ref="J26:M26"/>
    <mergeCell ref="J27:M27"/>
    <mergeCell ref="J28:M28"/>
    <mergeCell ref="J29:M29"/>
    <mergeCell ref="J30:M30"/>
    <mergeCell ref="H3:H6"/>
    <mergeCell ref="H7:H14"/>
    <mergeCell ref="H15:H17"/>
    <mergeCell ref="V3:V6"/>
    <mergeCell ref="V7:V14"/>
    <mergeCell ref="V15:V17"/>
    <mergeCell ref="I24:M24"/>
  </mergeCells>
  <pageMargins left="0.7" right="0.7" top="0.75" bottom="0.75" header="0.3" footer="0.3"/>
  <pageSetup orientation="portrait" horizontalDpi="300" verticalDpi="300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8"/>
  <sheetViews>
    <sheetView topLeftCell="A7" zoomScale="115" zoomScaleNormal="115" workbookViewId="0">
      <selection activeCell="J12" sqref="J12"/>
    </sheetView>
  </sheetViews>
  <sheetFormatPr defaultRowHeight="26.25"/>
  <cols>
    <col min="1" max="1" width="9.140625" style="172"/>
    <col min="2" max="2" width="5.28515625" style="172" customWidth="1"/>
    <col min="3" max="23" width="5.28515625" style="171" customWidth="1"/>
    <col min="24" max="24" width="16" style="187" customWidth="1"/>
    <col min="25" max="25" width="14.28515625" style="171" customWidth="1"/>
    <col min="26" max="27" width="5.28515625" style="171" customWidth="1"/>
    <col min="28" max="28" width="5.28515625" style="170" customWidth="1"/>
    <col min="29" max="16384" width="9.140625" style="170"/>
  </cols>
  <sheetData>
    <row r="1" spans="1:33" ht="13.5" customHeight="1">
      <c r="X1" s="185" t="s">
        <v>768</v>
      </c>
      <c r="AA1" s="171" t="s">
        <v>766</v>
      </c>
    </row>
    <row r="2" spans="1:33" ht="29.25" customHeight="1">
      <c r="A2" s="173" t="s">
        <v>9</v>
      </c>
      <c r="B2" s="197" t="s">
        <v>745</v>
      </c>
      <c r="C2" s="174" t="s">
        <v>314</v>
      </c>
      <c r="D2" s="174" t="s">
        <v>746</v>
      </c>
      <c r="E2" s="176" t="s">
        <v>224</v>
      </c>
      <c r="F2" s="175" t="s">
        <v>290</v>
      </c>
      <c r="G2" s="171" t="s">
        <v>541</v>
      </c>
      <c r="I2" s="179" t="s">
        <v>745</v>
      </c>
      <c r="J2" s="177" t="s">
        <v>475</v>
      </c>
      <c r="K2" s="174" t="s">
        <v>754</v>
      </c>
      <c r="L2" s="175" t="s">
        <v>290</v>
      </c>
      <c r="M2" s="176"/>
      <c r="N2" s="171" t="s">
        <v>750</v>
      </c>
      <c r="X2" s="187">
        <f>COUNTA(C2:F3)+COUNTA(J2:M2)</f>
        <v>11</v>
      </c>
      <c r="AA2" s="171">
        <f>COUNTA(J2:M2)</f>
        <v>3</v>
      </c>
    </row>
    <row r="3" spans="1:33" ht="29.25" customHeight="1">
      <c r="A3" s="173"/>
      <c r="B3" s="197"/>
      <c r="C3" s="177" t="s">
        <v>475</v>
      </c>
      <c r="D3" s="174" t="s">
        <v>747</v>
      </c>
      <c r="E3" s="178" t="s">
        <v>282</v>
      </c>
      <c r="F3" s="176" t="s">
        <v>197</v>
      </c>
      <c r="AA3" s="171">
        <f>COUNTA(C2:F3)+COUNTA(J2:M2)</f>
        <v>11</v>
      </c>
    </row>
    <row r="4" spans="1:33" ht="14.25" customHeight="1">
      <c r="A4" s="173"/>
      <c r="B4" s="173"/>
    </row>
    <row r="5" spans="1:33" ht="29.25" customHeight="1">
      <c r="A5" s="173" t="s">
        <v>16</v>
      </c>
      <c r="B5" s="197" t="s">
        <v>745</v>
      </c>
      <c r="C5" s="174" t="s">
        <v>314</v>
      </c>
      <c r="D5" s="174" t="s">
        <v>746</v>
      </c>
      <c r="E5" s="175" t="s">
        <v>289</v>
      </c>
      <c r="F5" s="175" t="s">
        <v>288</v>
      </c>
      <c r="G5" s="175" t="s">
        <v>287</v>
      </c>
      <c r="H5" s="176" t="s">
        <v>195</v>
      </c>
      <c r="I5" s="176" t="s">
        <v>193</v>
      </c>
      <c r="J5" s="171" t="s">
        <v>748</v>
      </c>
      <c r="X5" s="187">
        <f>COUNTA(C5:I6)</f>
        <v>14</v>
      </c>
      <c r="AA5" s="171">
        <v>0</v>
      </c>
    </row>
    <row r="6" spans="1:33" ht="29.25" customHeight="1">
      <c r="A6" s="173"/>
      <c r="B6" s="197"/>
      <c r="C6" s="177" t="s">
        <v>475</v>
      </c>
      <c r="D6" s="174" t="s">
        <v>747</v>
      </c>
      <c r="E6" s="176">
        <v>20</v>
      </c>
      <c r="F6" s="176">
        <v>21</v>
      </c>
      <c r="G6" s="176" t="s">
        <v>222</v>
      </c>
      <c r="H6" s="176" t="s">
        <v>191</v>
      </c>
      <c r="I6" s="176" t="s">
        <v>189</v>
      </c>
      <c r="AA6" s="171">
        <f>COUNTA(C5:I6)</f>
        <v>14</v>
      </c>
    </row>
    <row r="7" spans="1:33" ht="12.75" customHeight="1">
      <c r="A7" s="173"/>
      <c r="B7" s="173"/>
    </row>
    <row r="8" spans="1:33" ht="29.25" customHeight="1">
      <c r="A8" s="173" t="s">
        <v>14</v>
      </c>
      <c r="B8" s="197" t="s">
        <v>745</v>
      </c>
      <c r="C8" s="174" t="s">
        <v>314</v>
      </c>
      <c r="D8" s="174" t="s">
        <v>746</v>
      </c>
      <c r="E8" s="178" t="s">
        <v>245</v>
      </c>
      <c r="F8" s="178" t="s">
        <v>244</v>
      </c>
      <c r="G8" s="178" t="s">
        <v>243</v>
      </c>
      <c r="H8" s="176"/>
      <c r="I8" s="178" t="s">
        <v>242</v>
      </c>
      <c r="J8" s="178" t="s">
        <v>241</v>
      </c>
      <c r="K8" s="178" t="s">
        <v>240</v>
      </c>
      <c r="L8" s="176"/>
      <c r="M8" s="176"/>
      <c r="N8" s="176"/>
      <c r="O8" s="176"/>
      <c r="P8" s="178" t="s">
        <v>239</v>
      </c>
      <c r="Q8" s="178" t="s">
        <v>238</v>
      </c>
      <c r="R8" s="178" t="s">
        <v>237</v>
      </c>
      <c r="S8" s="171" t="s">
        <v>749</v>
      </c>
      <c r="X8" s="187">
        <f>COUNTA(C8:R9)</f>
        <v>21</v>
      </c>
      <c r="AA8" s="171">
        <v>0</v>
      </c>
    </row>
    <row r="9" spans="1:33" ht="29.25" customHeight="1">
      <c r="A9" s="173"/>
      <c r="B9" s="197"/>
      <c r="C9" s="177" t="s">
        <v>475</v>
      </c>
      <c r="D9" s="174" t="s">
        <v>747</v>
      </c>
      <c r="E9" s="181" t="s">
        <v>299</v>
      </c>
      <c r="F9" s="181" t="s">
        <v>127</v>
      </c>
      <c r="G9" s="181" t="s">
        <v>298</v>
      </c>
      <c r="H9" s="181" t="s">
        <v>297</v>
      </c>
      <c r="I9" s="176"/>
      <c r="J9" s="176"/>
      <c r="K9" s="176"/>
      <c r="L9" s="176"/>
      <c r="M9" s="176"/>
      <c r="N9" s="176"/>
      <c r="O9" s="181" t="s">
        <v>325</v>
      </c>
      <c r="P9" s="181" t="s">
        <v>130</v>
      </c>
      <c r="Q9" s="181" t="s">
        <v>326</v>
      </c>
      <c r="R9" s="181" t="s">
        <v>327</v>
      </c>
      <c r="AA9" s="171">
        <f>COUNTA(C8:R9)</f>
        <v>21</v>
      </c>
    </row>
    <row r="10" spans="1:33" ht="12.75" customHeight="1">
      <c r="A10" s="173"/>
      <c r="B10" s="173"/>
    </row>
    <row r="11" spans="1:33" ht="29.25" customHeight="1">
      <c r="A11" s="173" t="s">
        <v>24</v>
      </c>
      <c r="B11" s="197" t="s">
        <v>745</v>
      </c>
      <c r="C11" s="174" t="s">
        <v>314</v>
      </c>
      <c r="D11" s="174" t="s">
        <v>746</v>
      </c>
      <c r="E11" s="178" t="s">
        <v>281</v>
      </c>
      <c r="F11" s="178" t="s">
        <v>279</v>
      </c>
      <c r="G11" s="178" t="s">
        <v>278</v>
      </c>
      <c r="H11" s="178" t="s">
        <v>277</v>
      </c>
      <c r="I11" s="178" t="s">
        <v>276</v>
      </c>
      <c r="J11" s="178" t="s">
        <v>275</v>
      </c>
      <c r="K11" s="178" t="s">
        <v>274</v>
      </c>
      <c r="L11" s="178" t="s">
        <v>273</v>
      </c>
      <c r="M11" s="176"/>
      <c r="N11" s="178" t="s">
        <v>272</v>
      </c>
      <c r="O11" s="178" t="s">
        <v>271</v>
      </c>
      <c r="P11" s="178" t="s">
        <v>270</v>
      </c>
      <c r="Q11" s="178" t="s">
        <v>268</v>
      </c>
      <c r="R11" s="178" t="s">
        <v>266</v>
      </c>
      <c r="S11" s="178" t="s">
        <v>264</v>
      </c>
      <c r="T11" s="178" t="s">
        <v>262</v>
      </c>
      <c r="U11" s="178" t="s">
        <v>261</v>
      </c>
      <c r="V11" s="178" t="s">
        <v>260</v>
      </c>
      <c r="W11" s="171" t="s">
        <v>751</v>
      </c>
      <c r="X11" s="187">
        <f>COUNTA(C11:V12)</f>
        <v>38</v>
      </c>
      <c r="AA11" s="171">
        <v>0</v>
      </c>
      <c r="AE11" s="170" t="s">
        <v>761</v>
      </c>
      <c r="AF11" s="170" t="s">
        <v>764</v>
      </c>
      <c r="AG11" s="170" t="s">
        <v>765</v>
      </c>
    </row>
    <row r="12" spans="1:33" ht="29.25" customHeight="1">
      <c r="A12" s="173"/>
      <c r="B12" s="197"/>
      <c r="C12" s="177" t="s">
        <v>475</v>
      </c>
      <c r="D12" s="174" t="s">
        <v>747</v>
      </c>
      <c r="E12" s="176" t="s">
        <v>187</v>
      </c>
      <c r="F12" s="176" t="s">
        <v>185</v>
      </c>
      <c r="G12" s="176" t="s">
        <v>183</v>
      </c>
      <c r="H12" s="176" t="s">
        <v>181</v>
      </c>
      <c r="I12" s="176" t="s">
        <v>220</v>
      </c>
      <c r="J12" s="176" t="s">
        <v>179</v>
      </c>
      <c r="K12" s="176" t="s">
        <v>177</v>
      </c>
      <c r="L12" s="176" t="s">
        <v>218</v>
      </c>
      <c r="M12" s="176"/>
      <c r="N12" s="176" t="s">
        <v>217</v>
      </c>
      <c r="O12" s="176" t="s">
        <v>216</v>
      </c>
      <c r="P12" s="176" t="s">
        <v>215</v>
      </c>
      <c r="Q12" s="176" t="s">
        <v>213</v>
      </c>
      <c r="R12" s="176" t="s">
        <v>211</v>
      </c>
      <c r="S12" s="176" t="s">
        <v>209</v>
      </c>
      <c r="T12" s="176" t="s">
        <v>207</v>
      </c>
      <c r="U12" s="176" t="s">
        <v>205</v>
      </c>
      <c r="V12" s="176" t="s">
        <v>203</v>
      </c>
      <c r="AA12" s="171">
        <f>COUNTA(C11:V12)</f>
        <v>38</v>
      </c>
      <c r="AD12" s="170" t="s">
        <v>762</v>
      </c>
      <c r="AE12" s="170">
        <v>113</v>
      </c>
      <c r="AF12" s="170">
        <f>SUM(AA2,AA5,AA8,AA11,AA14,AA17,AA20,AA23,AA26,AA29*2)</f>
        <v>134</v>
      </c>
      <c r="AG12" s="170">
        <f>AF12-AE12</f>
        <v>21</v>
      </c>
    </row>
    <row r="13" spans="1:33" ht="12" customHeight="1">
      <c r="A13" s="173"/>
      <c r="B13" s="173"/>
      <c r="AD13" s="170" t="s">
        <v>763</v>
      </c>
      <c r="AE13" s="170">
        <v>290</v>
      </c>
      <c r="AF13" s="170">
        <f>SUM(AA3,AA6,AA9,AA12,AA15,AA18,AA21,AA24,AA27,AA30*2)</f>
        <v>222</v>
      </c>
      <c r="AG13" s="170">
        <f>AF13-AE13</f>
        <v>-68</v>
      </c>
    </row>
    <row r="14" spans="1:33" ht="29.25" customHeight="1">
      <c r="A14" s="173" t="s">
        <v>23</v>
      </c>
      <c r="B14" s="197" t="s">
        <v>745</v>
      </c>
      <c r="C14" s="174" t="s">
        <v>314</v>
      </c>
      <c r="D14" s="174" t="s">
        <v>746</v>
      </c>
      <c r="E14" s="176" t="s">
        <v>157</v>
      </c>
      <c r="F14" s="176" t="s">
        <v>155</v>
      </c>
      <c r="G14" s="176" t="s">
        <v>153</v>
      </c>
      <c r="H14" s="176"/>
      <c r="I14" s="176" t="s">
        <v>151</v>
      </c>
      <c r="J14" s="176" t="s">
        <v>149</v>
      </c>
      <c r="K14" s="176" t="s">
        <v>146</v>
      </c>
      <c r="L14" s="176" t="s">
        <v>144</v>
      </c>
      <c r="M14" s="176" t="s">
        <v>141</v>
      </c>
      <c r="N14" s="176"/>
      <c r="O14" s="176" t="s">
        <v>201</v>
      </c>
      <c r="P14" s="176" t="s">
        <v>199</v>
      </c>
      <c r="Q14" s="176"/>
      <c r="R14" s="176"/>
      <c r="S14" s="171" t="s">
        <v>749</v>
      </c>
      <c r="X14" s="187">
        <f>COUNTA(C14:R15)</f>
        <v>25</v>
      </c>
      <c r="AA14" s="171">
        <v>3</v>
      </c>
    </row>
    <row r="15" spans="1:33" ht="29.25" customHeight="1">
      <c r="A15" s="173"/>
      <c r="B15" s="197"/>
      <c r="C15" s="177" t="s">
        <v>475</v>
      </c>
      <c r="D15" s="174" t="s">
        <v>747</v>
      </c>
      <c r="E15" s="176" t="s">
        <v>171</v>
      </c>
      <c r="F15" s="178" t="s">
        <v>446</v>
      </c>
      <c r="G15" s="176" t="s">
        <v>169</v>
      </c>
      <c r="H15" s="176"/>
      <c r="I15" s="176" t="s">
        <v>167</v>
      </c>
      <c r="J15" s="178" t="s">
        <v>447</v>
      </c>
      <c r="K15" s="176" t="s">
        <v>165</v>
      </c>
      <c r="L15" s="176"/>
      <c r="M15" s="176" t="s">
        <v>163</v>
      </c>
      <c r="N15" s="178" t="s">
        <v>448</v>
      </c>
      <c r="O15" s="176" t="s">
        <v>161</v>
      </c>
      <c r="P15" s="176"/>
      <c r="Q15" s="178" t="s">
        <v>449</v>
      </c>
      <c r="R15" s="178" t="s">
        <v>450</v>
      </c>
      <c r="AA15" s="171">
        <f>COUNTA(C14:R15)</f>
        <v>25</v>
      </c>
    </row>
    <row r="16" spans="1:33" ht="12" customHeight="1">
      <c r="A16" s="173"/>
      <c r="B16" s="173"/>
    </row>
    <row r="17" spans="1:28" ht="29.25" customHeight="1">
      <c r="A17" s="173" t="s">
        <v>25</v>
      </c>
      <c r="B17" s="197" t="s">
        <v>745</v>
      </c>
      <c r="C17" s="174" t="s">
        <v>743</v>
      </c>
      <c r="D17" s="174" t="s">
        <v>746</v>
      </c>
      <c r="E17" s="175" t="s">
        <v>291</v>
      </c>
      <c r="F17" s="176" t="s">
        <v>534</v>
      </c>
      <c r="G17" s="175" t="s">
        <v>286</v>
      </c>
      <c r="H17" s="176" t="s">
        <v>175</v>
      </c>
      <c r="I17" s="176" t="s">
        <v>173</v>
      </c>
      <c r="J17" s="174" t="s">
        <v>744</v>
      </c>
      <c r="K17" s="171" t="s">
        <v>752</v>
      </c>
      <c r="X17" s="187">
        <f>COUNTA(C17:J18)</f>
        <v>15</v>
      </c>
      <c r="AA17" s="171">
        <f>COUNTA(C17:J18)</f>
        <v>15</v>
      </c>
    </row>
    <row r="18" spans="1:28" ht="29.25" customHeight="1">
      <c r="A18" s="173"/>
      <c r="B18" s="197"/>
      <c r="C18" s="177" t="s">
        <v>475</v>
      </c>
      <c r="D18" s="174" t="s">
        <v>747</v>
      </c>
      <c r="E18" s="178" t="s">
        <v>451</v>
      </c>
      <c r="F18" s="178" t="s">
        <v>460</v>
      </c>
      <c r="G18" s="178" t="s">
        <v>452</v>
      </c>
      <c r="H18" s="178" t="s">
        <v>453</v>
      </c>
      <c r="I18" s="176" t="s">
        <v>159</v>
      </c>
      <c r="J18" s="180"/>
      <c r="AA18" s="171">
        <v>0</v>
      </c>
    </row>
    <row r="19" spans="1:28" ht="11.25" customHeight="1">
      <c r="A19" s="173"/>
      <c r="B19" s="173"/>
    </row>
    <row r="20" spans="1:28" ht="29.25" customHeight="1">
      <c r="A20" s="173" t="s">
        <v>22</v>
      </c>
      <c r="B20" s="197" t="s">
        <v>745</v>
      </c>
      <c r="C20" s="174" t="s">
        <v>314</v>
      </c>
      <c r="D20" s="174" t="s">
        <v>746</v>
      </c>
      <c r="E20" s="178" t="s">
        <v>236</v>
      </c>
      <c r="F20" s="178" t="s">
        <v>235</v>
      </c>
      <c r="G20" s="178" t="s">
        <v>234</v>
      </c>
      <c r="H20" s="176"/>
      <c r="I20" s="176"/>
      <c r="J20" s="178" t="s">
        <v>233</v>
      </c>
      <c r="K20" s="178" t="s">
        <v>232</v>
      </c>
      <c r="L20" s="178" t="s">
        <v>231</v>
      </c>
      <c r="M20" s="176"/>
      <c r="N20" s="176"/>
      <c r="O20" s="178" t="s">
        <v>230</v>
      </c>
      <c r="P20" s="178" t="s">
        <v>229</v>
      </c>
      <c r="Q20" s="178" t="s">
        <v>227</v>
      </c>
      <c r="R20" s="176"/>
      <c r="S20" s="171" t="s">
        <v>749</v>
      </c>
      <c r="X20" s="187">
        <f>COUNTA(C20:R21)</f>
        <v>27</v>
      </c>
      <c r="AA20" s="171">
        <f>COUNTA(C20:R21)</f>
        <v>27</v>
      </c>
    </row>
    <row r="21" spans="1:28" ht="29.25" customHeight="1">
      <c r="A21" s="173"/>
      <c r="B21" s="197"/>
      <c r="C21" s="177" t="s">
        <v>475</v>
      </c>
      <c r="D21" s="174" t="s">
        <v>747</v>
      </c>
      <c r="E21" s="181" t="s">
        <v>328</v>
      </c>
      <c r="F21" s="181" t="s">
        <v>131</v>
      </c>
      <c r="G21" s="181" t="s">
        <v>329</v>
      </c>
      <c r="H21" s="181" t="s">
        <v>330</v>
      </c>
      <c r="I21" s="176">
        <v>3</v>
      </c>
      <c r="J21" s="181" t="s">
        <v>331</v>
      </c>
      <c r="K21" s="181" t="s">
        <v>332</v>
      </c>
      <c r="L21" s="181" t="s">
        <v>333</v>
      </c>
      <c r="M21" s="181" t="s">
        <v>334</v>
      </c>
      <c r="N21" s="178" t="s">
        <v>454</v>
      </c>
      <c r="O21" s="181" t="s">
        <v>9</v>
      </c>
      <c r="P21" s="181" t="s">
        <v>9</v>
      </c>
      <c r="Q21" s="181" t="s">
        <v>16</v>
      </c>
      <c r="R21" s="181" t="s">
        <v>16</v>
      </c>
      <c r="AA21" s="171">
        <f>AA20</f>
        <v>27</v>
      </c>
    </row>
    <row r="22" spans="1:28" ht="10.5" customHeight="1">
      <c r="A22" s="173"/>
      <c r="B22" s="173"/>
    </row>
    <row r="23" spans="1:28" ht="29.25" customHeight="1">
      <c r="A23" s="173" t="s">
        <v>26</v>
      </c>
      <c r="B23" s="197" t="s">
        <v>745</v>
      </c>
      <c r="C23" s="174" t="s">
        <v>314</v>
      </c>
      <c r="D23" s="174" t="s">
        <v>746</v>
      </c>
      <c r="E23" s="176">
        <v>12</v>
      </c>
      <c r="F23" s="176">
        <v>13</v>
      </c>
      <c r="G23" s="176">
        <v>14</v>
      </c>
      <c r="H23" s="176">
        <v>15</v>
      </c>
      <c r="I23" s="176">
        <v>16</v>
      </c>
      <c r="J23" s="176">
        <v>17</v>
      </c>
      <c r="K23" s="171" t="s">
        <v>752</v>
      </c>
      <c r="X23" s="187">
        <f>COUNTA(C23:J24)</f>
        <v>16</v>
      </c>
      <c r="AA23" s="171">
        <f>COUNTA(C23:J24)</f>
        <v>16</v>
      </c>
    </row>
    <row r="24" spans="1:28" ht="29.25" customHeight="1">
      <c r="A24" s="173"/>
      <c r="B24" s="197"/>
      <c r="C24" s="177" t="s">
        <v>475</v>
      </c>
      <c r="D24" s="174" t="s">
        <v>747</v>
      </c>
      <c r="E24" s="178" t="s">
        <v>251</v>
      </c>
      <c r="F24" s="178" t="s">
        <v>250</v>
      </c>
      <c r="G24" s="178" t="s">
        <v>249</v>
      </c>
      <c r="H24" s="178" t="s">
        <v>248</v>
      </c>
      <c r="I24" s="178" t="s">
        <v>247</v>
      </c>
      <c r="J24" s="178" t="s">
        <v>246</v>
      </c>
      <c r="AA24" s="171">
        <f>AA23</f>
        <v>16</v>
      </c>
    </row>
    <row r="25" spans="1:28" ht="12" customHeight="1">
      <c r="A25" s="173"/>
      <c r="B25" s="173"/>
    </row>
    <row r="26" spans="1:28" ht="29.25" customHeight="1">
      <c r="A26" s="173" t="s">
        <v>21</v>
      </c>
      <c r="B26" s="197" t="s">
        <v>745</v>
      </c>
      <c r="C26" s="174" t="s">
        <v>314</v>
      </c>
      <c r="D26" s="174" t="s">
        <v>746</v>
      </c>
      <c r="E26" s="178" t="s">
        <v>259</v>
      </c>
      <c r="F26" s="178" t="s">
        <v>257</v>
      </c>
      <c r="G26" s="178" t="s">
        <v>256</v>
      </c>
      <c r="H26" s="181" t="s">
        <v>299</v>
      </c>
      <c r="I26" s="181" t="s">
        <v>127</v>
      </c>
      <c r="J26" s="181" t="s">
        <v>298</v>
      </c>
      <c r="K26" s="181" t="s">
        <v>297</v>
      </c>
      <c r="L26" s="178" t="s">
        <v>255</v>
      </c>
      <c r="M26" s="178" t="s">
        <v>254</v>
      </c>
      <c r="N26" s="178" t="s">
        <v>252</v>
      </c>
      <c r="O26" s="181" t="s">
        <v>325</v>
      </c>
      <c r="P26" s="181" t="s">
        <v>130</v>
      </c>
      <c r="Q26" s="181" t="s">
        <v>326</v>
      </c>
      <c r="R26" s="181" t="s">
        <v>327</v>
      </c>
      <c r="S26" s="171" t="s">
        <v>749</v>
      </c>
      <c r="X26" s="187">
        <f>COUNTA(C26:R27)</f>
        <v>32</v>
      </c>
      <c r="AA26" s="171">
        <f>COUNTA(C26:R27)</f>
        <v>32</v>
      </c>
    </row>
    <row r="27" spans="1:28" ht="29.25" customHeight="1">
      <c r="A27" s="173"/>
      <c r="B27" s="197"/>
      <c r="C27" s="177" t="s">
        <v>475</v>
      </c>
      <c r="D27" s="174" t="s">
        <v>747</v>
      </c>
      <c r="E27" s="178" t="s">
        <v>443</v>
      </c>
      <c r="F27" s="178" t="s">
        <v>444</v>
      </c>
      <c r="G27" s="178" t="s">
        <v>445</v>
      </c>
      <c r="H27" s="181" t="s">
        <v>328</v>
      </c>
      <c r="I27" s="181" t="s">
        <v>131</v>
      </c>
      <c r="J27" s="181" t="s">
        <v>329</v>
      </c>
      <c r="K27" s="181" t="s">
        <v>330</v>
      </c>
      <c r="L27" s="178" t="s">
        <v>455</v>
      </c>
      <c r="M27" s="178" t="s">
        <v>456</v>
      </c>
      <c r="N27" s="178" t="s">
        <v>457</v>
      </c>
      <c r="O27" s="176">
        <v>5</v>
      </c>
      <c r="P27" s="178" t="s">
        <v>441</v>
      </c>
      <c r="Q27" s="178" t="s">
        <v>442</v>
      </c>
      <c r="R27" s="178" t="s">
        <v>459</v>
      </c>
      <c r="AA27" s="171">
        <f>AA26</f>
        <v>32</v>
      </c>
    </row>
    <row r="28" spans="1:28" ht="11.25" customHeight="1">
      <c r="A28" s="173"/>
      <c r="B28" s="173"/>
    </row>
    <row r="29" spans="1:28" ht="29.25" customHeight="1">
      <c r="A29" s="173" t="s">
        <v>335</v>
      </c>
      <c r="B29" s="197" t="s">
        <v>745</v>
      </c>
      <c r="C29" s="174" t="s">
        <v>314</v>
      </c>
      <c r="D29" s="174" t="s">
        <v>746</v>
      </c>
      <c r="E29" s="181">
        <v>36</v>
      </c>
      <c r="F29" s="181">
        <v>37</v>
      </c>
      <c r="G29" s="181">
        <v>38</v>
      </c>
      <c r="H29" s="181">
        <v>39</v>
      </c>
      <c r="I29" s="181">
        <v>40</v>
      </c>
      <c r="J29" s="181">
        <v>41</v>
      </c>
      <c r="K29" s="181">
        <v>42</v>
      </c>
      <c r="L29" s="181">
        <v>43</v>
      </c>
      <c r="M29" s="171" t="s">
        <v>753</v>
      </c>
      <c r="X29" s="187">
        <f>COUNTA(C29:L30)</f>
        <v>19</v>
      </c>
      <c r="AA29" s="184">
        <v>19</v>
      </c>
      <c r="AB29" s="170" t="s">
        <v>767</v>
      </c>
    </row>
    <row r="30" spans="1:28" ht="29.25" customHeight="1">
      <c r="B30" s="197"/>
      <c r="C30" s="177" t="s">
        <v>475</v>
      </c>
      <c r="D30" s="174" t="s">
        <v>747</v>
      </c>
      <c r="E30" s="181">
        <v>8</v>
      </c>
      <c r="F30" s="181">
        <v>9</v>
      </c>
      <c r="G30" s="181">
        <v>10</v>
      </c>
      <c r="H30" s="181">
        <v>11</v>
      </c>
      <c r="I30" s="176"/>
      <c r="J30" s="176" t="s">
        <v>534</v>
      </c>
      <c r="K30" s="181">
        <v>18</v>
      </c>
      <c r="L30" s="181">
        <v>19</v>
      </c>
      <c r="AA30" s="171">
        <f>COUNTA(C29:L30)</f>
        <v>19</v>
      </c>
    </row>
    <row r="31" spans="1:28" ht="29.25" customHeight="1">
      <c r="X31" s="187">
        <f>SUM(X2:X26)+2*X29</f>
        <v>237</v>
      </c>
      <c r="Y31" s="186" t="s">
        <v>769</v>
      </c>
    </row>
    <row r="32" spans="1:28" ht="29.25" customHeight="1">
      <c r="X32" s="187">
        <f>X31</f>
        <v>237</v>
      </c>
      <c r="Y32" s="186" t="s">
        <v>770</v>
      </c>
    </row>
    <row r="33" spans="24:24" ht="29.25" customHeight="1">
      <c r="X33" s="188" t="s">
        <v>771</v>
      </c>
    </row>
    <row r="34" spans="24:24" ht="29.25" customHeight="1"/>
    <row r="35" spans="24:24" ht="29.25" customHeight="1"/>
    <row r="36" spans="24:24" ht="29.25" customHeight="1"/>
    <row r="37" spans="24:24" ht="29.25" customHeight="1"/>
    <row r="38" spans="24:24" ht="29.25" customHeight="1"/>
  </sheetData>
  <mergeCells count="10">
    <mergeCell ref="B20:B21"/>
    <mergeCell ref="B23:B24"/>
    <mergeCell ref="B26:B27"/>
    <mergeCell ref="B29:B30"/>
    <mergeCell ref="B2:B3"/>
    <mergeCell ref="B5:B6"/>
    <mergeCell ref="B8:B9"/>
    <mergeCell ref="B11:B12"/>
    <mergeCell ref="B14:B15"/>
    <mergeCell ref="B17:B1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zoomScale="110" zoomScaleNormal="110" workbookViewId="0">
      <selection activeCell="C16" sqref="C16"/>
    </sheetView>
  </sheetViews>
  <sheetFormatPr defaultRowHeight="15"/>
  <cols>
    <col min="1" max="1" width="29.7109375" customWidth="1"/>
    <col min="3" max="3" width="11" customWidth="1"/>
    <col min="4" max="4" width="8.7109375" customWidth="1"/>
    <col min="5" max="5" width="10.7109375" customWidth="1"/>
    <col min="6" max="6" width="26.7109375" customWidth="1"/>
  </cols>
  <sheetData>
    <row r="1" spans="1:6" ht="30">
      <c r="A1" s="161" t="s">
        <v>0</v>
      </c>
      <c r="B1" s="160" t="s">
        <v>121</v>
      </c>
      <c r="C1" s="162" t="s">
        <v>701</v>
      </c>
      <c r="D1" s="162" t="s">
        <v>702</v>
      </c>
      <c r="E1" s="162" t="s">
        <v>700</v>
      </c>
      <c r="F1" s="161" t="s">
        <v>672</v>
      </c>
    </row>
    <row r="2" spans="1:6">
      <c r="A2" t="s">
        <v>703</v>
      </c>
      <c r="B2" s="12">
        <v>1</v>
      </c>
      <c r="C2" s="12">
        <v>18</v>
      </c>
      <c r="D2" s="163">
        <v>1</v>
      </c>
      <c r="E2" s="159">
        <v>2</v>
      </c>
    </row>
    <row r="3" spans="1:6">
      <c r="A3" t="s">
        <v>704</v>
      </c>
      <c r="B3" s="12">
        <v>1</v>
      </c>
      <c r="C3" s="12">
        <v>18</v>
      </c>
      <c r="D3" s="163">
        <v>1</v>
      </c>
      <c r="E3" s="159">
        <v>0</v>
      </c>
    </row>
    <row r="4" spans="1:6">
      <c r="A4" t="s">
        <v>705</v>
      </c>
      <c r="B4" s="12">
        <v>1</v>
      </c>
      <c r="C4" s="12">
        <v>20</v>
      </c>
      <c r="D4" s="163">
        <v>1</v>
      </c>
      <c r="E4" s="159">
        <v>2</v>
      </c>
    </row>
    <row r="5" spans="1:6">
      <c r="A5" t="s">
        <v>635</v>
      </c>
      <c r="B5" s="12">
        <v>1</v>
      </c>
      <c r="C5" s="12">
        <v>4</v>
      </c>
      <c r="D5" s="164">
        <v>1</v>
      </c>
      <c r="E5" s="12">
        <v>2</v>
      </c>
    </row>
    <row r="6" spans="1:6">
      <c r="A6" t="s">
        <v>636</v>
      </c>
      <c r="B6" s="12">
        <v>1</v>
      </c>
      <c r="C6" s="12">
        <v>6</v>
      </c>
      <c r="D6" s="164">
        <v>1</v>
      </c>
      <c r="E6" s="12">
        <v>0</v>
      </c>
    </row>
    <row r="7" spans="1:6">
      <c r="A7" t="s">
        <v>637</v>
      </c>
      <c r="B7" s="12">
        <v>1</v>
      </c>
      <c r="C7" s="12">
        <v>9</v>
      </c>
      <c r="D7" s="164">
        <v>1</v>
      </c>
      <c r="E7" s="12">
        <v>0</v>
      </c>
    </row>
    <row r="8" spans="1:6">
      <c r="A8" t="s">
        <v>638</v>
      </c>
      <c r="B8" s="12">
        <v>1</v>
      </c>
      <c r="C8" s="12">
        <v>4</v>
      </c>
      <c r="D8" s="164">
        <v>1</v>
      </c>
      <c r="E8" s="12">
        <v>0</v>
      </c>
    </row>
    <row r="9" spans="1:6">
      <c r="A9" t="s">
        <v>639</v>
      </c>
      <c r="B9" s="12">
        <v>1</v>
      </c>
      <c r="C9" s="12">
        <v>3</v>
      </c>
      <c r="D9" s="164">
        <v>1</v>
      </c>
      <c r="E9" s="12">
        <v>0</v>
      </c>
    </row>
    <row r="10" spans="1:6">
      <c r="A10" t="s">
        <v>640</v>
      </c>
      <c r="B10" s="12">
        <v>1</v>
      </c>
      <c r="C10" s="12">
        <v>30</v>
      </c>
      <c r="D10" s="164">
        <v>1</v>
      </c>
      <c r="E10" s="12">
        <v>0</v>
      </c>
    </row>
    <row r="11" spans="1:6">
      <c r="A11" t="s">
        <v>641</v>
      </c>
      <c r="B11" s="12">
        <v>1</v>
      </c>
      <c r="C11" s="12">
        <v>2</v>
      </c>
      <c r="D11" s="164">
        <v>1</v>
      </c>
      <c r="E11" s="12">
        <v>0</v>
      </c>
    </row>
    <row r="12" spans="1:6">
      <c r="A12" t="s">
        <v>642</v>
      </c>
      <c r="B12" s="12">
        <v>1</v>
      </c>
      <c r="C12" s="12">
        <v>96</v>
      </c>
      <c r="D12" s="164">
        <v>1</v>
      </c>
      <c r="E12" s="12">
        <v>0</v>
      </c>
    </row>
    <row r="13" spans="1:6">
      <c r="A13" t="s">
        <v>643</v>
      </c>
      <c r="B13" s="12">
        <v>1</v>
      </c>
      <c r="C13" s="12">
        <v>95</v>
      </c>
      <c r="D13" s="164">
        <v>1</v>
      </c>
      <c r="E13" s="12">
        <v>0</v>
      </c>
    </row>
    <row r="14" spans="1:6">
      <c r="A14" t="s">
        <v>644</v>
      </c>
      <c r="B14" s="12">
        <v>1</v>
      </c>
      <c r="C14" s="12">
        <v>96</v>
      </c>
      <c r="D14" s="164">
        <v>1</v>
      </c>
      <c r="E14" s="12">
        <v>0</v>
      </c>
    </row>
    <row r="15" spans="1:6">
      <c r="A15" t="s">
        <v>645</v>
      </c>
      <c r="B15" s="12">
        <v>1</v>
      </c>
      <c r="C15" s="12">
        <v>96</v>
      </c>
      <c r="D15" s="164">
        <v>1</v>
      </c>
      <c r="E15" s="12">
        <v>0</v>
      </c>
    </row>
    <row r="16" spans="1:6">
      <c r="A16" t="s">
        <v>646</v>
      </c>
      <c r="B16" s="12">
        <v>1</v>
      </c>
      <c r="C16" s="12">
        <v>95</v>
      </c>
      <c r="D16" s="164">
        <v>1</v>
      </c>
      <c r="E16" s="12">
        <v>0</v>
      </c>
    </row>
    <row r="17" spans="1:5">
      <c r="A17" t="s">
        <v>634</v>
      </c>
      <c r="B17" s="12">
        <v>1</v>
      </c>
      <c r="C17" s="12">
        <v>38</v>
      </c>
      <c r="D17" s="163">
        <v>1</v>
      </c>
      <c r="E17" s="12">
        <v>0</v>
      </c>
    </row>
    <row r="18" spans="1:5">
      <c r="A18" t="s">
        <v>706</v>
      </c>
      <c r="B18" s="12">
        <v>2</v>
      </c>
      <c r="C18" s="12">
        <v>38</v>
      </c>
      <c r="D18" s="163">
        <v>1</v>
      </c>
      <c r="E18" s="12">
        <v>0</v>
      </c>
    </row>
    <row r="19" spans="1:5">
      <c r="A19" t="s">
        <v>699</v>
      </c>
      <c r="B19" s="12">
        <v>1</v>
      </c>
      <c r="C19" s="12">
        <v>37</v>
      </c>
      <c r="D19" s="163">
        <v>1</v>
      </c>
      <c r="E19" s="12">
        <v>0</v>
      </c>
    </row>
    <row r="20" spans="1:5">
      <c r="A20" t="s">
        <v>647</v>
      </c>
      <c r="B20" s="12">
        <v>2</v>
      </c>
      <c r="C20" s="12">
        <v>91</v>
      </c>
      <c r="D20" s="163">
        <v>1</v>
      </c>
      <c r="E20" s="12">
        <v>0</v>
      </c>
    </row>
    <row r="21" spans="1:5">
      <c r="A21" t="s">
        <v>648</v>
      </c>
      <c r="B21" s="12">
        <v>1</v>
      </c>
      <c r="C21" s="12">
        <v>91</v>
      </c>
      <c r="D21" s="163">
        <v>1</v>
      </c>
      <c r="E21" s="12">
        <v>0</v>
      </c>
    </row>
    <row r="22" spans="1:5">
      <c r="A22" t="s">
        <v>649</v>
      </c>
      <c r="B22" s="12">
        <v>4</v>
      </c>
      <c r="C22" s="12">
        <v>91</v>
      </c>
      <c r="D22" s="163">
        <v>1</v>
      </c>
      <c r="E22" s="12">
        <v>0</v>
      </c>
    </row>
    <row r="23" spans="1:5">
      <c r="A23" t="s">
        <v>655</v>
      </c>
      <c r="B23" s="12">
        <v>12</v>
      </c>
      <c r="C23" s="12">
        <v>17</v>
      </c>
      <c r="D23" s="164">
        <v>1</v>
      </c>
      <c r="E23" s="12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zoomScale="110" zoomScaleNormal="110" workbookViewId="0">
      <selection activeCell="E28" sqref="E28"/>
    </sheetView>
  </sheetViews>
  <sheetFormatPr defaultRowHeight="15"/>
  <cols>
    <col min="1" max="1" width="10.28515625" style="12" bestFit="1" customWidth="1"/>
    <col min="2" max="2" width="26.85546875" customWidth="1"/>
    <col min="3" max="3" width="11" bestFit="1" customWidth="1"/>
    <col min="4" max="4" width="3.5703125" customWidth="1"/>
    <col min="5" max="5" width="26.7109375" bestFit="1" customWidth="1"/>
    <col min="6" max="7" width="11" bestFit="1" customWidth="1"/>
    <col min="8" max="8" width="10" customWidth="1"/>
    <col min="9" max="9" width="13.42578125" customWidth="1"/>
    <col min="10" max="10" width="23.5703125" customWidth="1"/>
    <col min="11" max="11" width="4.7109375" customWidth="1"/>
    <col min="12" max="12" width="11.140625" bestFit="1" customWidth="1"/>
  </cols>
  <sheetData>
    <row r="1" spans="1:12" ht="30">
      <c r="A1" s="10" t="s">
        <v>8</v>
      </c>
      <c r="B1" s="12" t="s">
        <v>0</v>
      </c>
      <c r="C1" t="s">
        <v>121</v>
      </c>
      <c r="E1" t="s">
        <v>0</v>
      </c>
      <c r="F1" s="156" t="s">
        <v>673</v>
      </c>
      <c r="G1" s="156" t="s">
        <v>674</v>
      </c>
      <c r="H1" t="s">
        <v>650</v>
      </c>
      <c r="I1" t="s">
        <v>651</v>
      </c>
      <c r="J1" t="s">
        <v>672</v>
      </c>
      <c r="L1" s="78" t="s">
        <v>671</v>
      </c>
    </row>
    <row r="2" spans="1:12">
      <c r="A2" s="12" t="s">
        <v>16</v>
      </c>
      <c r="B2" s="154" t="s">
        <v>628</v>
      </c>
      <c r="C2">
        <v>1</v>
      </c>
      <c r="E2" s="154" t="s">
        <v>652</v>
      </c>
      <c r="F2">
        <f>SUMIF(Table46[Part], E2,Table46[Quantity])</f>
        <v>12</v>
      </c>
      <c r="G2">
        <v>12</v>
      </c>
      <c r="H2" s="159">
        <v>16</v>
      </c>
      <c r="I2" t="s">
        <v>670</v>
      </c>
      <c r="L2" t="s">
        <v>667</v>
      </c>
    </row>
    <row r="3" spans="1:12">
      <c r="A3" s="12" t="s">
        <v>14</v>
      </c>
      <c r="B3" s="154" t="s">
        <v>652</v>
      </c>
      <c r="C3">
        <v>2</v>
      </c>
      <c r="E3" s="154" t="s">
        <v>653</v>
      </c>
      <c r="F3">
        <f>SUMIF(Table46[Part], E3,Table46[Quantity])</f>
        <v>11</v>
      </c>
      <c r="G3">
        <v>11</v>
      </c>
      <c r="H3" s="12">
        <v>16</v>
      </c>
      <c r="I3" t="s">
        <v>670</v>
      </c>
      <c r="L3" t="s">
        <v>668</v>
      </c>
    </row>
    <row r="4" spans="1:12">
      <c r="A4" s="12" t="s">
        <v>14</v>
      </c>
      <c r="B4" s="154" t="s">
        <v>653</v>
      </c>
      <c r="C4">
        <v>2</v>
      </c>
      <c r="E4" s="183" t="s">
        <v>654</v>
      </c>
      <c r="F4">
        <f>SUMIF(Table46[Part], E4,Table46[Quantity])</f>
        <v>11</v>
      </c>
      <c r="G4">
        <v>11</v>
      </c>
      <c r="H4" s="12">
        <v>12</v>
      </c>
      <c r="I4" t="s">
        <v>670</v>
      </c>
      <c r="J4" s="54"/>
      <c r="L4" t="s">
        <v>669</v>
      </c>
    </row>
    <row r="5" spans="1:12">
      <c r="A5" s="12" t="s">
        <v>14</v>
      </c>
      <c r="B5" s="154" t="s">
        <v>654</v>
      </c>
      <c r="C5">
        <v>2</v>
      </c>
      <c r="E5" s="154" t="s">
        <v>94</v>
      </c>
      <c r="F5">
        <f>SUMIF(Table46[Part], E5,Table46[Quantity])</f>
        <v>1</v>
      </c>
      <c r="G5">
        <v>1</v>
      </c>
      <c r="H5" s="12">
        <v>7</v>
      </c>
      <c r="I5" t="s">
        <v>670</v>
      </c>
      <c r="L5" t="s">
        <v>670</v>
      </c>
    </row>
    <row r="6" spans="1:12">
      <c r="A6" s="12" t="s">
        <v>14</v>
      </c>
      <c r="B6" s="154" t="s">
        <v>660</v>
      </c>
      <c r="C6">
        <v>1</v>
      </c>
      <c r="E6" s="154" t="s">
        <v>656</v>
      </c>
      <c r="F6">
        <f>SUMIF(Table46[Part], E6,Table46[Quantity])</f>
        <v>1</v>
      </c>
      <c r="G6">
        <v>1</v>
      </c>
      <c r="H6" s="12">
        <v>7</v>
      </c>
      <c r="I6" t="s">
        <v>670</v>
      </c>
    </row>
    <row r="7" spans="1:12">
      <c r="A7" s="12" t="s">
        <v>14</v>
      </c>
      <c r="B7" s="154" t="s">
        <v>661</v>
      </c>
      <c r="C7">
        <v>1</v>
      </c>
      <c r="E7" s="154" t="s">
        <v>649</v>
      </c>
      <c r="F7">
        <f>SUMIF(Table46[Part], E7,Table46[Quantity])</f>
        <v>4</v>
      </c>
      <c r="G7">
        <v>4</v>
      </c>
      <c r="H7" s="182"/>
      <c r="I7" t="s">
        <v>670</v>
      </c>
    </row>
    <row r="8" spans="1:12">
      <c r="A8" s="12" t="s">
        <v>24</v>
      </c>
      <c r="B8" s="154" t="s">
        <v>90</v>
      </c>
      <c r="C8">
        <v>7</v>
      </c>
      <c r="E8" t="s">
        <v>660</v>
      </c>
      <c r="F8">
        <f>SUMIF(Table46[Part], E8,Table46[Quantity])</f>
        <v>10</v>
      </c>
      <c r="G8">
        <v>10</v>
      </c>
      <c r="H8" s="12">
        <v>7</v>
      </c>
      <c r="I8" t="s">
        <v>670</v>
      </c>
    </row>
    <row r="9" spans="1:12">
      <c r="A9" s="12" t="s">
        <v>24</v>
      </c>
      <c r="B9" s="154" t="s">
        <v>626</v>
      </c>
      <c r="C9">
        <v>1</v>
      </c>
      <c r="E9" t="s">
        <v>661</v>
      </c>
      <c r="F9">
        <f>SUMIF(Table46[Part], E9,Table46[Quantity])</f>
        <v>2</v>
      </c>
      <c r="G9">
        <v>2</v>
      </c>
      <c r="H9" s="12">
        <v>6</v>
      </c>
      <c r="I9" t="s">
        <v>670</v>
      </c>
    </row>
    <row r="10" spans="1:12">
      <c r="A10" s="12" t="s">
        <v>24</v>
      </c>
      <c r="B10" s="154" t="s">
        <v>657</v>
      </c>
      <c r="C10">
        <v>1</v>
      </c>
      <c r="E10" s="154" t="s">
        <v>657</v>
      </c>
      <c r="F10">
        <f>SUMIF(Table46[Part], E10,Table46[Quantity])</f>
        <v>1</v>
      </c>
      <c r="G10">
        <v>1</v>
      </c>
      <c r="H10" s="12">
        <v>7</v>
      </c>
      <c r="I10" t="s">
        <v>670</v>
      </c>
    </row>
    <row r="11" spans="1:12">
      <c r="A11" s="12" t="s">
        <v>23</v>
      </c>
      <c r="B11" s="154" t="s">
        <v>89</v>
      </c>
      <c r="C11">
        <v>8</v>
      </c>
      <c r="E11" t="s">
        <v>665</v>
      </c>
      <c r="F11">
        <f>SUMIF(Table46[Part], E11,Table46[Quantity])</f>
        <v>1</v>
      </c>
      <c r="G11">
        <v>1</v>
      </c>
      <c r="H11" s="12">
        <v>5</v>
      </c>
      <c r="I11" t="s">
        <v>670</v>
      </c>
    </row>
    <row r="12" spans="1:12">
      <c r="A12" s="12" t="s">
        <v>23</v>
      </c>
      <c r="B12" s="154" t="s">
        <v>83</v>
      </c>
      <c r="C12">
        <v>1</v>
      </c>
      <c r="E12" t="s">
        <v>666</v>
      </c>
      <c r="F12">
        <f>SUMIF(Table46[Part], E12,Table46[Quantity])</f>
        <v>2</v>
      </c>
      <c r="G12">
        <v>2</v>
      </c>
      <c r="H12" s="12">
        <v>2</v>
      </c>
      <c r="I12" t="s">
        <v>670</v>
      </c>
    </row>
    <row r="13" spans="1:12">
      <c r="A13" s="12" t="s">
        <v>23</v>
      </c>
      <c r="B13" t="s">
        <v>665</v>
      </c>
      <c r="C13">
        <v>1</v>
      </c>
      <c r="E13" s="154" t="s">
        <v>658</v>
      </c>
      <c r="F13">
        <f>SUMIF(Table46[Part], E13,Table46[Quantity])</f>
        <v>1</v>
      </c>
      <c r="G13">
        <v>1</v>
      </c>
      <c r="H13" s="159">
        <v>6</v>
      </c>
      <c r="I13" t="s">
        <v>670</v>
      </c>
      <c r="J13" s="54"/>
    </row>
    <row r="14" spans="1:12">
      <c r="A14" s="12" t="s">
        <v>23</v>
      </c>
      <c r="B14" t="s">
        <v>666</v>
      </c>
      <c r="C14">
        <v>2</v>
      </c>
      <c r="E14" t="s">
        <v>662</v>
      </c>
      <c r="F14">
        <f>SUMIF(Table46[Part], E14,Table46[Quantity])</f>
        <v>1</v>
      </c>
      <c r="G14">
        <v>1</v>
      </c>
      <c r="H14" s="12">
        <v>9</v>
      </c>
      <c r="I14" t="s">
        <v>670</v>
      </c>
      <c r="J14" s="54"/>
    </row>
    <row r="15" spans="1:12">
      <c r="A15" s="12" t="s">
        <v>23</v>
      </c>
      <c r="B15" s="154" t="s">
        <v>84</v>
      </c>
      <c r="C15">
        <v>3</v>
      </c>
      <c r="E15" t="s">
        <v>85</v>
      </c>
      <c r="F15">
        <f>SUMIF(Table46[Part], E15,Table46[Quantity])</f>
        <v>1</v>
      </c>
      <c r="G15">
        <v>1</v>
      </c>
      <c r="H15" s="159">
        <v>4</v>
      </c>
      <c r="I15" t="s">
        <v>670</v>
      </c>
    </row>
    <row r="16" spans="1:12">
      <c r="A16" s="12" t="s">
        <v>23</v>
      </c>
      <c r="B16" s="154" t="s">
        <v>91</v>
      </c>
      <c r="C16">
        <v>3</v>
      </c>
      <c r="E16" t="s">
        <v>90</v>
      </c>
      <c r="F16">
        <f>SUMIF(Table46[Part], E16,Table46[Quantity])</f>
        <v>9</v>
      </c>
      <c r="G16">
        <v>9</v>
      </c>
      <c r="H16" s="12">
        <v>3</v>
      </c>
      <c r="I16" t="s">
        <v>670</v>
      </c>
    </row>
    <row r="17" spans="1:10">
      <c r="A17" s="12" t="s">
        <v>25</v>
      </c>
      <c r="B17" s="154" t="s">
        <v>90</v>
      </c>
      <c r="C17">
        <v>2</v>
      </c>
      <c r="E17" t="s">
        <v>89</v>
      </c>
      <c r="F17">
        <f>SUMIF(Table46[Part], E17,Table46[Quantity])</f>
        <v>9</v>
      </c>
      <c r="G17">
        <v>9</v>
      </c>
      <c r="H17" s="12">
        <v>2</v>
      </c>
      <c r="I17" t="s">
        <v>670</v>
      </c>
    </row>
    <row r="18" spans="1:10">
      <c r="A18" s="12" t="s">
        <v>25</v>
      </c>
      <c r="B18" s="154" t="s">
        <v>89</v>
      </c>
      <c r="C18">
        <v>1</v>
      </c>
      <c r="E18" t="s">
        <v>91</v>
      </c>
      <c r="F18">
        <f>SUMIF(Table46[Part], E18,Table46[Quantity])</f>
        <v>3</v>
      </c>
      <c r="G18">
        <v>3</v>
      </c>
      <c r="H18" s="12">
        <v>3</v>
      </c>
      <c r="I18" t="s">
        <v>670</v>
      </c>
    </row>
    <row r="19" spans="1:10">
      <c r="A19" s="12" t="s">
        <v>25</v>
      </c>
      <c r="B19" s="154" t="s">
        <v>628</v>
      </c>
      <c r="C19">
        <v>1</v>
      </c>
      <c r="E19" t="s">
        <v>84</v>
      </c>
      <c r="F19">
        <f>SUMIF(Table46[Part], E19,Table46[Quantity])</f>
        <v>3</v>
      </c>
      <c r="G19">
        <v>3</v>
      </c>
      <c r="H19" s="12">
        <v>4</v>
      </c>
      <c r="I19" t="s">
        <v>670</v>
      </c>
    </row>
    <row r="20" spans="1:10">
      <c r="A20" s="12" t="s">
        <v>25</v>
      </c>
      <c r="B20" s="154" t="s">
        <v>658</v>
      </c>
      <c r="C20">
        <v>1</v>
      </c>
      <c r="E20" t="s">
        <v>628</v>
      </c>
      <c r="F20">
        <f>SUMIF(Table46[Part], E20,Table46[Quantity])</f>
        <v>2</v>
      </c>
      <c r="G20">
        <v>2</v>
      </c>
      <c r="H20" s="12">
        <v>6</v>
      </c>
      <c r="I20" t="s">
        <v>670</v>
      </c>
    </row>
    <row r="21" spans="1:10">
      <c r="A21" s="12" t="s">
        <v>25</v>
      </c>
      <c r="B21" s="154" t="s">
        <v>85</v>
      </c>
      <c r="C21">
        <v>1</v>
      </c>
      <c r="E21" t="s">
        <v>626</v>
      </c>
      <c r="F21">
        <f>SUMIF(Table46[Part], E21,Table46[Quantity])</f>
        <v>1</v>
      </c>
      <c r="G21">
        <v>1</v>
      </c>
      <c r="H21" s="12">
        <v>4</v>
      </c>
      <c r="I21" t="s">
        <v>670</v>
      </c>
    </row>
    <row r="22" spans="1:10">
      <c r="A22" s="12" t="s">
        <v>22</v>
      </c>
      <c r="B22" s="154" t="s">
        <v>652</v>
      </c>
      <c r="C22">
        <v>3</v>
      </c>
      <c r="E22" t="s">
        <v>83</v>
      </c>
      <c r="F22">
        <f>SUMIF(Table46[Part], E22,Table46[Quantity])</f>
        <v>1</v>
      </c>
      <c r="G22">
        <v>1</v>
      </c>
      <c r="H22" s="12">
        <v>3</v>
      </c>
      <c r="I22" t="s">
        <v>670</v>
      </c>
    </row>
    <row r="23" spans="1:10">
      <c r="A23" s="12" t="s">
        <v>22</v>
      </c>
      <c r="B23" s="154" t="s">
        <v>653</v>
      </c>
      <c r="C23">
        <v>2</v>
      </c>
      <c r="E23" t="s">
        <v>659</v>
      </c>
      <c r="F23">
        <f>SUMIF(Table46[Part], E23,Table46[Quantity])</f>
        <v>1</v>
      </c>
      <c r="G23">
        <v>1</v>
      </c>
      <c r="H23" s="12">
        <v>22</v>
      </c>
      <c r="I23" t="s">
        <v>670</v>
      </c>
    </row>
    <row r="24" spans="1:10">
      <c r="A24" s="12" t="s">
        <v>22</v>
      </c>
      <c r="B24" s="154" t="s">
        <v>654</v>
      </c>
      <c r="C24">
        <v>2</v>
      </c>
      <c r="E24" t="s">
        <v>678</v>
      </c>
      <c r="F24">
        <f>SUMIF(Table46[Part], E24,Table46[Quantity])</f>
        <v>2</v>
      </c>
      <c r="G24">
        <v>2</v>
      </c>
      <c r="H24" s="12">
        <v>6</v>
      </c>
      <c r="I24" t="s">
        <v>670</v>
      </c>
    </row>
    <row r="25" spans="1:10">
      <c r="A25" s="12" t="s">
        <v>22</v>
      </c>
      <c r="B25" s="154" t="s">
        <v>94</v>
      </c>
      <c r="C25">
        <v>1</v>
      </c>
      <c r="E25" s="154" t="s">
        <v>709</v>
      </c>
      <c r="F25">
        <f>SUMIF(Table46[Part], E25,Table46[Quantity])</f>
        <v>2</v>
      </c>
      <c r="G25">
        <v>2</v>
      </c>
      <c r="H25" s="12">
        <v>2</v>
      </c>
      <c r="I25" t="s">
        <v>670</v>
      </c>
      <c r="J25" s="54"/>
    </row>
    <row r="26" spans="1:10">
      <c r="A26" s="12" t="s">
        <v>22</v>
      </c>
      <c r="B26" s="154" t="s">
        <v>656</v>
      </c>
      <c r="C26">
        <v>1</v>
      </c>
      <c r="E26" t="s">
        <v>307</v>
      </c>
      <c r="F26">
        <f>SUBTOTAL(109,Table6[Quantity
Needed])</f>
        <v>92</v>
      </c>
      <c r="G26">
        <f>SUBTOTAL(109,Table6[Quantity
Finished])</f>
        <v>92</v>
      </c>
    </row>
    <row r="27" spans="1:10">
      <c r="A27" s="12" t="s">
        <v>22</v>
      </c>
      <c r="B27" s="154" t="s">
        <v>660</v>
      </c>
      <c r="C27">
        <v>3</v>
      </c>
    </row>
    <row r="28" spans="1:10">
      <c r="A28" s="12" t="s">
        <v>26</v>
      </c>
      <c r="B28" s="154" t="s">
        <v>659</v>
      </c>
      <c r="C28">
        <v>1</v>
      </c>
      <c r="E28" s="54"/>
    </row>
    <row r="29" spans="1:10">
      <c r="A29" s="12" t="s">
        <v>21</v>
      </c>
      <c r="B29" s="154" t="s">
        <v>652</v>
      </c>
      <c r="C29">
        <v>3</v>
      </c>
    </row>
    <row r="30" spans="1:10">
      <c r="A30" s="12" t="s">
        <v>21</v>
      </c>
      <c r="B30" s="154" t="s">
        <v>653</v>
      </c>
      <c r="C30">
        <f>C29</f>
        <v>3</v>
      </c>
    </row>
    <row r="31" spans="1:10">
      <c r="A31" s="12" t="s">
        <v>21</v>
      </c>
      <c r="B31" s="154" t="s">
        <v>654</v>
      </c>
      <c r="C31">
        <f>C29</f>
        <v>3</v>
      </c>
    </row>
    <row r="32" spans="1:10">
      <c r="A32" s="12" t="s">
        <v>21</v>
      </c>
      <c r="B32" s="154" t="s">
        <v>660</v>
      </c>
      <c r="C32">
        <v>2</v>
      </c>
    </row>
    <row r="33" spans="1:3">
      <c r="A33" s="12" t="s">
        <v>21</v>
      </c>
      <c r="B33" s="154" t="s">
        <v>661</v>
      </c>
      <c r="C33">
        <v>1</v>
      </c>
    </row>
    <row r="34" spans="1:3">
      <c r="A34" s="12" t="s">
        <v>315</v>
      </c>
      <c r="B34" s="154" t="s">
        <v>709</v>
      </c>
      <c r="C34">
        <v>2</v>
      </c>
    </row>
    <row r="35" spans="1:3">
      <c r="A35" s="12" t="s">
        <v>315</v>
      </c>
      <c r="B35" s="154" t="s">
        <v>649</v>
      </c>
      <c r="C35">
        <v>4</v>
      </c>
    </row>
    <row r="36" spans="1:3">
      <c r="A36" s="12" t="s">
        <v>335</v>
      </c>
      <c r="B36" s="154" t="s">
        <v>652</v>
      </c>
      <c r="C36">
        <v>4</v>
      </c>
    </row>
    <row r="37" spans="1:3">
      <c r="A37" s="12" t="s">
        <v>335</v>
      </c>
      <c r="B37" s="154" t="s">
        <v>653</v>
      </c>
      <c r="C37">
        <f>C36</f>
        <v>4</v>
      </c>
    </row>
    <row r="38" spans="1:3">
      <c r="A38" s="12" t="s">
        <v>335</v>
      </c>
      <c r="B38" s="154" t="s">
        <v>654</v>
      </c>
      <c r="C38">
        <f>C36</f>
        <v>4</v>
      </c>
    </row>
    <row r="39" spans="1:3">
      <c r="A39" s="12" t="s">
        <v>335</v>
      </c>
      <c r="B39" s="154" t="s">
        <v>660</v>
      </c>
      <c r="C39">
        <v>4</v>
      </c>
    </row>
    <row r="40" spans="1:3">
      <c r="A40" s="12" t="s">
        <v>335</v>
      </c>
      <c r="B40" t="s">
        <v>662</v>
      </c>
      <c r="C40">
        <v>1</v>
      </c>
    </row>
    <row r="41" spans="1:3">
      <c r="A41" s="12" t="s">
        <v>335</v>
      </c>
      <c r="B41" t="s">
        <v>678</v>
      </c>
      <c r="C41">
        <v>2</v>
      </c>
    </row>
    <row r="42" spans="1:3">
      <c r="A42" s="12" t="s">
        <v>307</v>
      </c>
      <c r="C42">
        <f>SUBTOTAL(109,Table46[Quantity])</f>
        <v>92</v>
      </c>
    </row>
    <row r="43" spans="1:3">
      <c r="A43" s="155"/>
    </row>
  </sheetData>
  <conditionalFormatting sqref="F26:G2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{9AEB3175-2467-46DF-A312-9131CFF76D9E}</x14:id>
        </ext>
      </extLst>
    </cfRule>
  </conditionalFormatting>
  <conditionalFormatting sqref="I1:L1048576">
    <cfRule type="cellIs" dxfId="3" priority="2" operator="equal">
      <formula>$L$5</formula>
    </cfRule>
    <cfRule type="cellIs" dxfId="2" priority="3" operator="equal">
      <formula>$L$4</formula>
    </cfRule>
    <cfRule type="cellIs" dxfId="1" priority="4" operator="equal">
      <formula>$L$3</formula>
    </cfRule>
    <cfRule type="cellIs" dxfId="0" priority="5" operator="equal">
      <formula>$L$2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EB3175-2467-46DF-A312-9131CFF76D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F26:G26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Bill of Materials</vt:lpstr>
      <vt:lpstr>Fasteners</vt:lpstr>
      <vt:lpstr>Pin Assignment</vt:lpstr>
      <vt:lpstr>Connectors</vt:lpstr>
      <vt:lpstr>Machine Shop</vt:lpstr>
      <vt:lpstr>3D Printing</vt:lpstr>
      <vt:lpstr>ExchangeRate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 Deriabine</cp:lastModifiedBy>
  <dcterms:created xsi:type="dcterms:W3CDTF">2017-11-02T05:46:41Z</dcterms:created>
  <dcterms:modified xsi:type="dcterms:W3CDTF">2025-01-25T22:17:55Z</dcterms:modified>
</cp:coreProperties>
</file>